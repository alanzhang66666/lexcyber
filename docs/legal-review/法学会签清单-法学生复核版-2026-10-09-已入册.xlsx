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9.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xl/worksheets/sheet8.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xl/worksheets/sheet7.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bookViews>
    <workbookView activeTab="0"/>
  </bookViews>
  <sheets>
    <sheet name="会签导航" sheetId="1" r:id="rId3"/>
    <sheet name="10项会签" sheetId="2" r:id="rId4"/>
    <sheet name="规则复核" sheetId="3" r:id="rId5"/>
    <sheet name="法源复核" sheetId="4" r:id="rId6"/>
    <sheet name="模板复核" sheetId="5" r:id="rId7"/>
    <sheet name="案例事实复核" sheetId="6" r:id="rId8"/>
    <sheet name="量刑冲突" sheetId="7" r:id="rId9"/>
    <sheet name="技术追溯" sheetId="8" r:id="rId10"/>
    <sheet name="正式会签记录" sheetId="9" r:id="rId11"/>
  </sheets>
  <calcPr/>
</workbook>
</file>

<file path=xl/sharedStrings.xml><?xml version="1.0" encoding="utf-8"?>
<sst xmlns="http://schemas.openxmlformats.org/spreadsheetml/2006/main" count="390" uniqueCount="390">
  <si>
    <t/>
  </si>
  <si>
    <t>LexCyber 法学会签｜法学生复核工作台</t>
  </si>
  <si>
    <t>使用方式：先看本页 → 按 SIGNOFF 编号逐项判断 → 如需追溯，再查看相应专题页和“技术追溯”页。技术字段仅用于定位，不要求先理解。</t>
  </si>
  <si>
    <t>总会签项</t>
  </si>
  <si>
    <t>已填写结论</t>
  </si>
  <si>
    <t>需补充/修改</t>
  </si>
  <si>
    <t>分组</t>
  </si>
  <si>
    <t>包含事项</t>
  </si>
  <si>
    <t>你主要要判断什么</t>
  </si>
  <si>
    <t>建议先看</t>
  </si>
  <si>
    <t>说明</t>
  </si>
  <si>
    <t>A. 系统对外边界</t>
  </si>
  <si>
    <t>SIGNOFF-001～005</t>
  </si>
  <si>
    <t>系统输出可以说到什么程度、哪些内容仍必须人工判断</t>
  </si>
  <si>
    <t>10项会签</t>
  </si>
  <si>
    <t>源材料仅列事项名称和负责人，未提供更细验收标准；复核时可在意见栏补充具体边界。</t>
  </si>
  <si>
    <t>B. 规则与法源</t>
  </si>
  <si>
    <t>SIGNOFF-006～007</t>
  </si>
  <si>
    <t>规则阈值/枚举/提示语是否准确；法源效力期间、别名和新旧链是否正确</t>
  </si>
  <si>
    <t>规则复核、法源复核</t>
  </si>
  <si>
    <t>这是本轮最需要逐条核对的法律内容。</t>
  </si>
  <si>
    <t>C. 文书模板</t>
  </si>
  <si>
    <t>SIGNOFF-008</t>
  </si>
  <si>
    <t>不同案型应走哪个模板、必填字段和字段法律语义是否正确</t>
  </si>
  <si>
    <t>模板复核</t>
  </si>
  <si>
    <t>字段解析失败时系统不产正文（fail-closed/blocked）。</t>
  </si>
  <si>
    <t>D. 案例事实映射</t>
  </si>
  <si>
    <t>SIGNOFF-009</t>
  </si>
  <si>
    <t>把叙述事实转换为法律判断，再由系统映射成字段；尤其是介入时点、事前通谋、金额口径</t>
  </si>
  <si>
    <t>案例事实复核</t>
  </si>
  <si>
    <t>工程侧不自行定性。</t>
  </si>
  <si>
    <t>E. 量刑冲突</t>
  </si>
  <si>
    <t>SIGNOFF-010</t>
  </si>
  <si>
    <t>案例A中系统规则与案载审定基准为什么不同，应改规则还是补建模情节</t>
  </si>
  <si>
    <t>量刑冲突</t>
  </si>
  <si>
    <t>这是明确存在的待解决冲突。</t>
  </si>
  <si>
    <t>编号</t>
  </si>
  <si>
    <t>分类</t>
  </si>
  <si>
    <t>请确认的法律问题（白话）</t>
  </si>
  <si>
    <t>为什么要你确认</t>
  </si>
  <si>
    <t>状态</t>
  </si>
  <si>
    <t>我的结论</t>
  </si>
  <si>
    <t>需要修改/补充的具体内容</t>
  </si>
  <si>
    <t>依据/理由</t>
  </si>
  <si>
    <t>技术追溯</t>
  </si>
  <si>
    <t>SIGNOFF-001</t>
  </si>
  <si>
    <t>系统对外边界</t>
  </si>
  <si>
    <t>法源检索结果、来源、时间与引用范围，是否可以作为“辅助研判”信息对外展示？</t>
  </si>
  <si>
    <t>决定检索模块对外展示边界。源材料未提供更细验收标准。</t>
  </si>
  <si>
    <t>已完成</t>
  </si>
  <si>
    <t>有条件同意</t>
  </si>
  <si>
    <t>可以用作辅助研判。
可以展示：标注来源、文号、效力期间、检索时间、需人工复核等。
不能展示：“本案适用某条”的终局结论，不标时效的旧法，直接把检索结果当作裁判依据等。</t>
  </si>
  <si>
    <t>检索模块的功能应当是辅助功能，而不是法律判断。</t>
  </si>
  <si>
    <t>检索公开口；返回码 501；R3</t>
  </si>
  <si>
    <t>SIGNOFF-002</t>
  </si>
  <si>
    <t>量刑模块展示事实输入、规则依据、计算结果时，哪些内容可以展示，哪些必须明确只是辅助分析？</t>
  </si>
  <si>
    <t>决定量刑公开口的事实、规则、计算和展示边界。源材料未提供更细验收标准。</t>
  </si>
  <si>
    <t>一方面，事实输入项、规则依据、基准档、可调节部分、计算过程等可以展示；另一方面，因本系统仅为辅助裁判功能，所以必须明确最终刑期、罚金、缓刑、最终裁量等只是辅助分析，且不能展示“应判xx月”等计算成果，把计算成果直接写成量刑建议。</t>
  </si>
  <si>
    <t>量刑需要综合考虑全案情节，本系统的AI 计算结果不能替代司法裁量。</t>
  </si>
  <si>
    <t>量刑公开口；返回码 501；R3</t>
  </si>
  <si>
    <t>SIGNOFF-003</t>
  </si>
  <si>
    <t>案件级合规分析的结论边界应到哪里？是否存在会被误读为终局法律结论的表达？</t>
  </si>
  <si>
    <t>决定 compliance.analyze 的案件级分析边界。源材料未提供更细验收标准。</t>
  </si>
  <si>
    <t>可以输出合规风险点、缺失项、建议补正事项、需要进一步核查的事实，但不能输出“构成犯罪”、“合法/违法”、“应处罚”、“确认违法”等，需要改为“可能涉及”、“存在风险”、“建议进一步核查”、“需要结合全案材料判断”。</t>
  </si>
  <si>
    <t>AI 只能辅助识别风险，不能替代司法机关判断。</t>
  </si>
  <si>
    <t>compliance.analyze；返回码 501；R3</t>
  </si>
  <si>
    <t>SIGNOFF-004</t>
  </si>
  <si>
    <t>案件级定罪分析只能提示候选罪名/风险，还是可以使用更强的结论性措辞？</t>
  </si>
  <si>
    <t>决定 conviction.analyze 的案件级定罪分析边界。源材料未提供更细验收标准。</t>
  </si>
  <si>
    <t>统一仅输出候选罪名、要件命中情况、待核实事实、排除事由和风险提示。不得使用“构成某罪”“应以某罪定罪处罚”“罪名成立”“有罪”等结论性措辞。</t>
  </si>
  <si>
    <t>定罪属于司法判断，AI 只能做要件辅助和风险提示，不能输出终局定罪结论。</t>
  </si>
  <si>
    <t>conviction.analyze；返回码 501；R3</t>
  </si>
  <si>
    <t>SIGNOFF-005</t>
  </si>
  <si>
    <t>文书字段 draftType / templateVersion 的法律语义和可编辑边界是否清楚、恰当？</t>
  </si>
  <si>
    <t>决定文书生成字段如何被理解和修改。源材料未提供更细验收标准。</t>
  </si>
  <si>
    <t>待复核</t>
  </si>
  <si>
    <t>文书内容需完整覆盖检察文书法定要素，包括诉讼权利告知、退回补充侦查或延长审查起诉期限、证据分类列举、附件事项、申诉权告知、认罪认罚从宽等。</t>
  </si>
  <si>
    <t>三份文书均为法定检察文书，法定要素应当逐一对应。</t>
  </si>
  <si>
    <t>文书字段字典；返回码 501；R4</t>
  </si>
  <si>
    <t>SIGNOFF-006</t>
  </si>
  <si>
    <t>规则与法源</t>
  </si>
  <si>
    <t>逐条确认 7 条规则的阈值、枚举、要件组合、风险提示和量刑调节表达是否正确。</t>
  </si>
  <si>
    <t>规则会直接影响系统如何提示构成要件、罪名界分、合规义务和量刑。</t>
  </si>
  <si>
    <t>明知的二分口径、帮助行为分类、情节严重的情形、诈骗共犯的提示边界</t>
  </si>
  <si>
    <t>相关法律法规和司法解释</t>
  </si>
  <si>
    <t>详见“规则复核”</t>
  </si>
  <si>
    <t>SIGNOFF-007</t>
  </si>
  <si>
    <t>确认 10 条法源的效力期间、别名覆盖以及新旧法源之间的 supersession（新旧链）声明。</t>
  </si>
  <si>
    <t>系统会按命中规则做双时点法源解析，法源链错误会影响引用结果。</t>
  </si>
  <si>
    <t>第1、2、5、7、10项法源的别名补充</t>
  </si>
  <si>
    <t>详见“法源复核”</t>
  </si>
  <si>
    <t>文书模板</t>
  </si>
  <si>
    <t>确认两份模板的适用案型、必填字段、占位符法律语义，以及案型→doc_type 映射。</t>
  </si>
  <si>
    <t>决定系统选哪个模板及缺字段时是否阻断正文生成。</t>
  </si>
  <si>
    <t>三份模板法定要素需完整，条件分支需准确：不起诉四种类型互斥，附条件不起诉仅适用于未成年人；量刑建议书主刑必填，免予刑事处罚时不再建议主刑及执行方式和附加刑。</t>
  </si>
  <si>
    <t>三份模板均为法定检察文书，法定要素和条件分支应当准确。</t>
  </si>
  <si>
    <t>详见“模板复核”</t>
  </si>
  <si>
    <t>案例事实映射</t>
  </si>
  <si>
    <t>确认案例 B/C 中介入时点、事前通谋、上游犯罪是否既遂、单位/自然人责任拆分、跨境要素及金额归类。</t>
  </si>
  <si>
    <t>这些是法律定性判断，源材料明确要求由法学审定，工程侧不自行定性。</t>
  </si>
  <si>
    <t>同意</t>
  </si>
  <si>
    <t>C案：事前介入并持续至上游犯罪实施阶段；无事前通谋；上游犯罪既遂；A公司承担单位犯罪主体责任，甲、乙是自然人，分别作为单位犯罪中直接负责的主管人员、其他直接责任人员承担个人刑事责任；已经具备跨境属性。现有事实包括境外客户、要求使用境外服务器、用户数据向境外服务器实时传输；11.8万元属于A公司涉案项目技术服务收入，其中9.8万元属于其中进入公司账户的部分、2万元属于11.8万元中支付给相关技术人员的项目奖金，不另行累计。</t>
  </si>
  <si>
    <t>B案：黄某在上游诈骗实施过程中介入、陈某在上游相应诈骗既遂后介入；两人都没有事前通谋；黄某黄某介入时上游犯罪并未整体结束、陈某介入时对应的上游诈骗已经既遂；黄某系自然人个人犯罪，公司不知情、不授权、不获利，不属于单位犯罪、陈某属于纯自然人犯罪；境外诈骗团伙成员遥控、使用境外加密通讯软件、资金经跨境支付通道归集境外，部分取现发生于边境城市，具有明确跨境要素。黄某个人违法所得4200元、陈某个人违法所得6409元。</t>
  </si>
  <si>
    <t>详见“案例事实复核”</t>
  </si>
  <si>
    <t>案例A为什么系统算出 9.0 月（坦白后 8.1 月），而案载审定基准是 12–18 月？应改规则还是补充未建模情节？</t>
  </si>
  <si>
    <t>目前规则结果与既有审定材料存在明确偏差，需要定性偏差来源。</t>
  </si>
  <si>
    <t>无</t>
  </si>
  <si>
    <t>9.0个月这个系统结果并没有明显异常，之前的12–18个月建议偏重，应当修正建议</t>
  </si>
  <si>
    <t>详见“量刑冲突”</t>
  </si>
  <si>
    <t>规则</t>
  </si>
  <si>
    <t>法律名称</t>
  </si>
  <si>
    <t>系统目前的判断（白话）</t>
  </si>
  <si>
    <t>系统输出意味着什么</t>
  </si>
  <si>
    <t>请重点核对</t>
  </si>
  <si>
    <t>具体修改意见</t>
  </si>
  <si>
    <t>系统字段/版本（追溯）</t>
  </si>
  <si>
    <t>1</t>
  </si>
  <si>
    <t>帮信罪构成要件（刑法第287条之二）</t>
  </si>
  <si>
    <t>必须同时满足：①明知/应知；②帮助行为属于互联网接入、服务器托管、网络存储、通讯传输、支付结算、广告推广、技术支持七类之一；③上游犯罪成立。</t>
  </si>
  <si>
    <t>只输出“候选罪名提示”，不等于定罪；“情节严重”和排除事由另行评估。</t>
  </si>
  <si>
    <t>明知二分口径是否合适；七类帮助行为映射是否完整；三要件命中后仍仅应作候选提示。</t>
  </si>
  <si>
    <t>①“明知”的含义是“知道或者应当知道”，建议去掉“应知”；②建议将帮助行为分为三类：技术支持、支付结算、广告推广。技术支持包括互联网接入、服务器托管、网络存储、通讯传输；③成立帮信罪要求“情节严重”，建议列为构成要件；④要件均满足后可以标记为“建议罪名”（备注：如果继续以帮信罪为重点的话，可以新增一个“建议罪名”，若帮信罪成立，列为“建议罪名”；若不成立，说明排除理由，并判断掩隐罪、诈骗罪等近邻犯罪是否为“候选罪名”。）</t>
  </si>
  <si>
    <t>rule-conviction-assist-287-2-elements@1.0.0</t>
  </si>
  <si>
    <t>2</t>
  </si>
  <si>
    <t>帮信罪“情节严重”门槛</t>
  </si>
  <si>
    <t>任一路径满足即可：①支付结算金额≥20万元；②帮助对象≥3且支付结算金额≥30万元；③违法所得≥1万元。</t>
  </si>
  <si>
    <t>提示“情节严重门槛已满足”；两条支付结算路径择一，不叠加。</t>
  </si>
  <si>
    <t>20万与“三账户30万”路径是否应择一；金额口径是否统一用 payment_settlement_amount；旧版是否应 superseded。</t>
  </si>
  <si>
    <t>1、“情节严重”需满足以下任一情况：①帮助对象≥3 ②支付结算金额≥20万元 ③提供资金≥5万元 ④违法所得≥1万元 ⑤2年内因非法利用互联网受过行政处罚 ⑥出租出售本人账户≥3且账户流入资金资金≥30万元 ⑦收购出售出租非本人账户且账户流入资金≥30万元 ⑧收购出售出租电话卡物联网卡≥20张（⑥-⑧为司法解释规定的“其他严重情节”，若技术不具有可行性可以选择）；2、以上路径均择一满足；3、金额口径：②用payment_settlement_amount，⑥⑦用account_total_flow；4、旧版superseded。</t>
  </si>
  <si>
    <t>rule-conviction-assist-severity-2019-threshold@1.0.1</t>
  </si>
  <si>
    <t>3</t>
  </si>
  <si>
    <t>掩隐与帮信界分——既遂后介入</t>
  </si>
  <si>
    <t>上游犯罪既遂后才介入转移赃款时，系统提示更偏向掩隐方向。</t>
  </si>
  <si>
    <t>仅是界分提示，仍须排除事前通谋，不能直接认定掩隐罪。</t>
  </si>
  <si>
    <t>提示措辞是否准确；是否必须强调排除事前通谋。</t>
  </si>
  <si>
    <t>①确定上游犯罪既遂只排除帮信罪的成立，但是不能使掩隐罪成立，掩隐罪可列为“候选罪名”；②以掩隐罪定罪必须强调排除事前同谋，否则构成上游犯罪的共犯。因此需要在提示措辞中明确需进一步判断是否事前同谋</t>
  </si>
  <si>
    <t>rule-distinction-concealment-after-upstream@1.0.0</t>
  </si>
  <si>
    <t>4</t>
  </si>
  <si>
    <t>诈骗共犯风险提示——事前通谋</t>
  </si>
  <si>
    <t>存在事前通谋，且介入时间在上游犯罪之前时，系统提示诈骗共犯评价风险。</t>
  </si>
  <si>
    <t>仅作风险提示，具体分工深度由人工研判。</t>
  </si>
  <si>
    <t>“事前通谋+提供支持”的提示边界是否准确；是否需要增加其他排除/限定条件。</t>
  </si>
  <si>
    <t>1、提示边界可增加为“事前通谋/事中勾连+提供支持”，虽无事前通谋但在上游犯罪既遂前形成稳定配合关系的，也可能构成诈骗共犯；2、待人工确认的事项（排除/限定条件）：①属于具体明知，若仅概括明知倾向帮信罪 ②行为参与深度达到长期固定、实质参与程度，否则不能认定共犯</t>
  </si>
  <si>
    <t>rule-distinction-fraud-accomplice-prior-collusion@1.0.0</t>
  </si>
  <si>
    <t>5</t>
  </si>
  <si>
    <t>合规义务——网络日志留存</t>
  </si>
  <si>
    <t>日志留存月数≥6时，系统标记该项义务满足。</t>
  </si>
  <si>
    <t>以 info 级别提示“日志留存不少于六个月”。</t>
  </si>
  <si>
    <t>六个月口径及 info 提示级别是否准确。</t>
  </si>
  <si>
    <t>rule-compliance-logs-retention-6m@1.0.0</t>
  </si>
  <si>
    <t>6</t>
  </si>
  <si>
    <t>合规义务——真实身份核验</t>
  </si>
  <si>
    <t>存在真实身份信息核验时，系统标记该项义务存在/满足。</t>
  </si>
  <si>
    <t>以 info 级别提示“用户真实身份信息核验”。</t>
  </si>
  <si>
    <t>义务表述是否准确。</t>
  </si>
  <si>
    <t>但若仅存在核验制度却未实际执行，也应标记为不满足。</t>
  </si>
  <si>
    <t>rule-compliance-realname-verification@1.0.0</t>
  </si>
  <si>
    <t>7</t>
  </si>
  <si>
    <t>帮信罪基准刑与情节调节</t>
  </si>
  <si>
    <t>前置为上游犯罪成立；基准档：支付结算≥30万→18月，≥20万→12月，违法所得≥1万→9月；自首-30%、坦白-10%、认罪认罚-20%；上限36月。</t>
  </si>
  <si>
    <t>形成量刑计算结果，但罚金及最终裁量仍由人工决定。</t>
  </si>
  <si>
    <t>基准档是否合理；调节幅度、叠加顺序、上限夹逼口径是否正确；与案例A偏差联动复核。</t>
  </si>
  <si>
    <t>rule-sentencing-assist-base@1.0.1</t>
  </si>
  <si>
    <t>序号</t>
  </si>
  <si>
    <t>名称/文号</t>
  </si>
  <si>
    <t>效力期间（源材料）</t>
  </si>
  <si>
    <t>别名（源材料）</t>
  </si>
  <si>
    <t>请核对</t>
  </si>
  <si>
    <t>补充/修正</t>
  </si>
  <si>
    <t>法源标识</t>
  </si>
  <si>
    <t>中华人民共和国刑法｜刑法第二百八十七条之二</t>
  </si>
  <si>
    <t>2015-11-01 → 现行</t>
  </si>
  <si>
    <t>帮信罪、帮助信息网络犯罪活动罪、支付结算帮助、广告推广帮助</t>
  </si>
  <si>
    <t>效力期间、别名覆盖、新旧链声明</t>
  </si>
  <si>
    <t>①2015年刑法修正案（九）增设帮信罪；②别名可补充：两卡犯罪</t>
  </si>
  <si>
    <t>cn-criminal-law-287-2-current</t>
  </si>
  <si>
    <t>中华人民共和国刑法｜刑法第二百六十六条</t>
  </si>
  <si>
    <t>1997-10-01 → 现行</t>
  </si>
  <si>
    <t>诈骗罪、诈骗共犯、共同诈骗</t>
  </si>
  <si>
    <t>①79旧刑法诈骗罪是第151、152条，97修订时单独设立为第266条；②别名可补充：电诈、电信网络诈骗</t>
  </si>
  <si>
    <t>cn-criminal-law-266-current</t>
  </si>
  <si>
    <t>中华人民共和国刑法｜刑法第三百一十二条</t>
  </si>
  <si>
    <t>2009-02-28 → 现行</t>
  </si>
  <si>
    <t>掩隐罪、掩饰隐瞒犯罪所得罪、犯罪所得收益、转移赃款</t>
  </si>
  <si>
    <t>97刑法就有312条，09年刑法修正案（七）增加单位犯罪条款。</t>
  </si>
  <si>
    <t>cn-criminal-law-312-current</t>
  </si>
  <si>
    <t>中华人民共和国刑法｜刑法第六条、第七条</t>
  </si>
  <si>
    <t>属地管辖、属人管辖、行为地、结果地、涉外连接点</t>
  </si>
  <si>
    <t>cn-criminal-law-6-7-current</t>
  </si>
  <si>
    <t>两高关于非法利用信息网络、帮助信息网络犯罪活动等刑事案件解释｜法释〔2019〕15号</t>
  </si>
  <si>
    <t>2019-11-01 → 现行</t>
  </si>
  <si>
    <t>2019帮信解释、帮信解释、明知推定、情节严重、支付结算二十万元、违法所得一万元</t>
  </si>
  <si>
    <t>别名可补充：提供资金五万元</t>
  </si>
  <si>
    <t>cn-cybercrime-interpretation-2019-11-12</t>
  </si>
  <si>
    <t>两高一部关于办理电信网络诈骗等刑事案件适用法律若干问题的意见｜法发〔2016〕32号</t>
  </si>
  <si>
    <t>2016-12-19 → 现行</t>
  </si>
  <si>
    <t>电诈意见一、电信网络诈骗意见、诈骗共同犯罪、诈骗共犯</t>
  </si>
  <si>
    <t>cn-telefraud-opinion-2016-common-crime</t>
  </si>
  <si>
    <t>两高一部关于办理帮助信息网络犯罪活动等刑事案件有关问题的意见｜法发〔2025〕12号</t>
  </si>
  <si>
    <t>2025-07-22 → 现行</t>
  </si>
  <si>
    <t>2025帮信意见、帮信意见、帮信与掩隐界分、稳定配合关系、跨境协同</t>
  </si>
  <si>
    <t>根据原文表述，建议把别名“跨境协同”改为“跨境帮助”或“跨境支持”；别名可补充：情节严重情形、帮信与诈骗共犯界分</t>
  </si>
  <si>
    <t>cn-helping-opinion-2025-4-9</t>
  </si>
  <si>
    <t>8</t>
  </si>
  <si>
    <t>两高关于常见犯罪的量刑指导意见（二）（试行）｜法〔2024〕132号</t>
  </si>
  <si>
    <t>2024-07-01 → 2025-06-30</t>
  </si>
  <si>
    <t>2024量刑指导意见二、法2024第132号、帮信罪量刑起点、量刑指导意见二</t>
  </si>
  <si>
    <t>试行一年，2024.7.1起，2025.6.30到期停止试行</t>
  </si>
  <si>
    <t>cn-sentencing-guidance-2024-2</t>
  </si>
  <si>
    <t>9</t>
  </si>
  <si>
    <t>最高法关于审理掩饰、隐瞒犯罪所得、犯罪所得收益案件解释（2021年修正）｜法释〔2015〕11号、法释〔2021〕8号</t>
  </si>
  <si>
    <t>2021-04-15 → 2025-08-25</t>
  </si>
  <si>
    <t>旧掩隐解释、2015掩隐解释、2021掩隐修改决定、行为时法</t>
  </si>
  <si>
    <t>法释〔2015〕11号自2015.6.1起实行，2021年经法释〔2021〕8号修正，有效期至2025.8.25。2025.8.26起被序号10法释〔2025〕13号替代</t>
  </si>
  <si>
    <t>cn-concealment-interpretation-2015-2021</t>
  </si>
  <si>
    <t>10</t>
  </si>
  <si>
    <t>两高关于办理掩饰、隐瞒犯罪所得、犯罪所得收益案件解释｜法释〔2025〕13号</t>
  </si>
  <si>
    <t>2025-08-26 → 现行</t>
  </si>
  <si>
    <t>2025掩隐解释、掩饰隐瞒犯罪所得解释、法释2025第13号、事前通谋、犯罪所得形成、五十万元</t>
  </si>
  <si>
    <t>①本解释取代序号9法释〔2021〕8号的旧解释，旧解释2025.8.26之后不再适用；②别名可补充：新掩隐解释、掩隐与诈骗共犯界分；③根据原文第五条，别名“五十万元”在认定情节严重时较为片面，建议删去</t>
  </si>
  <si>
    <t>cn-concealment-interpretation-2025-1-12</t>
  </si>
  <si>
    <t>模板</t>
  </si>
  <si>
    <t>适用案型（源材料）</t>
  </si>
  <si>
    <t>法学上请确认</t>
  </si>
  <si>
    <t>系统缺字段时</t>
  </si>
  <si>
    <t>修改意见</t>
  </si>
  <si>
    <t>技术字段</t>
  </si>
  <si>
    <t>indictment-draft@1.0.1</t>
  </si>
  <si>
    <t>支付结算型</t>
  </si>
  <si>
    <t>该类案件是否应走 indictment；amounts.payment_settlement_amount 等占位符与法律语义是否对应。</t>
  </si>
  <si>
    <t>必填占位符解析失败 → blocked，不产正文。</t>
  </si>
  <si>
    <t>需确认起诉书法定要素完整，包括诉讼权利告知、退回补充侦查或延长审查起诉期限、证据分类、附件事项、检察官署名。</t>
  </si>
  <si>
    <t>doc_type=indictment</t>
  </si>
  <si>
    <t>indictment-assist@1.0.0</t>
  </si>
  <si>
    <t>帮信通用型（非支付结算）</t>
  </si>
  <si>
    <t>非支付结算型帮信案件是否应走 indictment-assist；facts.defendant_name.value 作为必填字段是否恰当。</t>
  </si>
  <si>
    <t>必填字段解析失败 → blocked，不产正文。</t>
  </si>
  <si>
    <t>需确认被告人身份要素完整，不能仅以姓名作为唯一必填内容。</t>
  </si>
  <si>
    <t>doc_type=indictment-assist</t>
  </si>
  <si>
    <t>案型→模板映射</t>
  </si>
  <si>
    <t>两类模板之间</t>
  </si>
  <si>
    <t>确认何种案件应走 indictment，而非 indictment-assist；是否需要新增其他案型模板。</t>
  </si>
  <si>
    <t>适用模板/必填字段不满足时不应生成正文。</t>
  </si>
  <si>
    <t>需确认何种案件适用起诉书、何种案件适用不起诉决定书或量刑建议书。</t>
  </si>
  <si>
    <t>案件</t>
  </si>
  <si>
    <t>原材料状态</t>
  </si>
  <si>
    <t>请先做的法律判断</t>
  </si>
  <si>
    <t>可选/填写判断</t>
  </si>
  <si>
    <t>金额归类</t>
  </si>
  <si>
    <t>补充理由</t>
  </si>
  <si>
    <t>系统映射（追溯）</t>
  </si>
  <si>
    <t>demo-case-a-helping</t>
  </si>
  <si>
    <t>已完成（示例）</t>
  </si>
  <si>
    <t>核对既有映射是否仍认可</t>
  </si>
  <si>
    <t>28万=经营性收入；3万=违法所得；96万=上游犯罪金额/被害人损失；不写支付结算金额</t>
  </si>
  <si>
    <t>business_revenue / illegal_gain / crime_amount</t>
  </si>
  <si>
    <t>locator: bundle:*</t>
  </si>
  <si>
    <t>demo-case-b-proceeds</t>
  </si>
  <si>
    <t>待法学审定</t>
  </si>
  <si>
    <t>帮助/处置两段行为：介入发生在上游犯罪之前还是之后？是否存在事前通谋？上游犯罪当时是否既遂？</t>
  </si>
  <si>
    <t>C案：事前介入并持续至上游犯罪实施阶段；无事前通谋；上游犯罪既遂。
B案：黄某在上游诈骗实施过程中介入、陈某在上游相应诈骗既遂后介入；两人都没有事前通谋；黄某黄某介入时上游犯罪并未整体结束、陈某介入时对应的上游诈骗已经既遂；黄某系自然人个人犯罪，公司不知情、不授权、不获利，不属于单位犯罪、陈某属于纯自然人犯罪；境外诈骗团伙成员遥控、使用境外加密通讯软件、资金经跨境支付通道归集境外，部分取现发生于边境城市，具有明确跨境要素。</t>
  </si>
  <si>
    <t>11.8万元属于A公司涉案项目技术服务收入，其中9.8万元属于其中进入公司账户的部分、2万元属于11.8万元中支付给相关技术人员的项目奖金，不另行累计。
黄某个人违法所得4200元、陈某个人违法所得6409元。</t>
  </si>
  <si>
    <t>contact_timing / prior_collusion / upstream_crime_completed</t>
  </si>
  <si>
    <t>demo-case-c-unit-crossborder</t>
  </si>
  <si>
    <t>单位犯罪与自然人责任应如何拆分？跨境连接点应如何表述？</t>
  </si>
  <si>
    <t>A公司承担单位犯罪主体责任，甲、乙是自然人，分别作为单位犯罪中直接负责的主管人员、其他直接责任人员承担个人刑事责任；已经具备跨境属性。现有事实包括境外客户、要求使用境外服务器、用户数据向境外服务器实时传输。</t>
  </si>
  <si>
    <t>另请判断相关金额应归入哪一种现有口径</t>
  </si>
  <si>
    <t>jurisdiction_connection + 主体事实键（源材料未列出具体键）</t>
  </si>
  <si>
    <t>法律判断 → 系统字段对照（仅供追溯，不要求先掌握）</t>
  </si>
  <si>
    <t>金额口径封闭集（ADR-0003）</t>
  </si>
  <si>
    <t>法律概念</t>
  </si>
  <si>
    <t>系统字段</t>
  </si>
  <si>
    <t>取值</t>
  </si>
  <si>
    <t>用于</t>
  </si>
  <si>
    <t>法律口径</t>
  </si>
  <si>
    <t>系统 kind</t>
  </si>
  <si>
    <t>明知状态</t>
  </si>
  <si>
    <t>knowledge_of_crime</t>
  </si>
  <si>
    <t>explicit 明知 / presumed 应知</t>
  </si>
  <si>
    <t>帮信要件①</t>
  </si>
  <si>
    <t>支付结算金额（帮信“情节严重”要件）</t>
  </si>
  <si>
    <t>payment_settlement_amount</t>
  </si>
  <si>
    <t>帮助类型</t>
  </si>
  <si>
    <t>help_type</t>
  </si>
  <si>
    <t>七类：internet_access / server_hosting / network_storage / communication_transmission / payment_settlement / advertising_promotion / technical_support</t>
  </si>
  <si>
    <t>帮信要件②</t>
  </si>
  <si>
    <t>违法所得</t>
  </si>
  <si>
    <t>illegal_gain</t>
  </si>
  <si>
    <t>上游犯罪成立</t>
  </si>
  <si>
    <t>upstream_crime_established</t>
  </si>
  <si>
    <t>bool</t>
  </si>
  <si>
    <t>帮信要件③ + 量刑前置</t>
  </si>
  <si>
    <t>上游犯罪金额 / 被害人损失</t>
  </si>
  <si>
    <t>crime_amount</t>
  </si>
  <si>
    <t>上游犯罪既遂</t>
  </si>
  <si>
    <t>upstream_crime_completed</t>
  </si>
  <si>
    <t>掩隐界分</t>
  </si>
  <si>
    <t>经营性收入，不入罪量评价</t>
  </si>
  <si>
    <t>business_revenue</t>
  </si>
  <si>
    <t>介入时点</t>
  </si>
  <si>
    <t>contact_timing</t>
  </si>
  <si>
    <t>before_upstream / after_upstream</t>
  </si>
  <si>
    <t>界分双规则</t>
  </si>
  <si>
    <t>追缴数额</t>
  </si>
  <si>
    <t>recovery</t>
  </si>
  <si>
    <t>事前通谋</t>
  </si>
  <si>
    <t>prior_collusion</t>
  </si>
  <si>
    <t>诈骗共犯提示</t>
  </si>
  <si>
    <t>罚金</t>
  </si>
  <si>
    <t>fine</t>
  </si>
  <si>
    <t>帮助对象数量</t>
  </si>
  <si>
    <t>assisted_targets</t>
  </si>
  <si>
    <t>int</t>
  </si>
  <si>
    <t>2025意见三账户路径</t>
  </si>
  <si>
    <t>日志留存月数</t>
  </si>
  <si>
    <t>log_retention_months</t>
  </si>
  <si>
    <t>num</t>
  </si>
  <si>
    <t>合规义务</t>
  </si>
  <si>
    <t>实名核验</t>
  </si>
  <si>
    <t>has_realname_verification</t>
  </si>
  <si>
    <t>自首/坦白/认罪认罚</t>
  </si>
  <si>
    <t>has_surrender / has_confession / has_guilty_plea</t>
  </si>
  <si>
    <t>量刑调节项</t>
  </si>
  <si>
    <t>被告人名称</t>
  </si>
  <si>
    <t>defendant_name</t>
  </si>
  <si>
    <t>text</t>
  </si>
  <si>
    <t>文书必填字段</t>
  </si>
  <si>
    <t>案例 A｜量刑偏差冲突卡（SIGNOFF-010）</t>
  </si>
  <si>
    <t>项目</t>
  </si>
  <si>
    <t>内容</t>
  </si>
  <si>
    <t>请作出的判断</t>
  </si>
  <si>
    <t>填写</t>
  </si>
  <si>
    <t>系统规则基准</t>
  </si>
  <si>
    <t>违法所得 ≥1万元 → 9.0 月</t>
  </si>
  <si>
    <t>偏差归因</t>
  </si>
  <si>
    <t>系统调节后</t>
  </si>
  <si>
    <t>坦白 -10% → 8.1 月</t>
  </si>
  <si>
    <t>是否需要调整基准档</t>
  </si>
  <si>
    <t>案载审定基准</t>
  </si>
  <si>
    <t>12–18 月</t>
  </si>
  <si>
    <t>调节幅度是否正确</t>
  </si>
  <si>
    <t>源材料提出的两种可能归因</t>
  </si>
  <si>
    <t>①规则语料基准档取值偏低；②案载裁量包含未建模情节</t>
  </si>
  <si>
    <t>叠加顺序是否正确</t>
  </si>
  <si>
    <t>规则修正方式</t>
  </si>
  <si>
    <t>如需改规则：以新版本入册；approved 不可直接改；旧版 superseded</t>
  </si>
  <si>
    <t>补充依据/理由</t>
  </si>
  <si>
    <t>主题</t>
  </si>
  <si>
    <t>技术原文/字段</t>
  </si>
  <si>
    <t>解释</t>
  </si>
  <si>
    <t>来源位置</t>
  </si>
  <si>
    <t>总原则</t>
  </si>
  <si>
    <t>human_review_required</t>
  </si>
  <si>
    <t>所有模块结果均须具备资质人员复核后方可使用</t>
  </si>
  <si>
    <t>材料包首页</t>
  </si>
  <si>
    <t>会签机制</t>
  </si>
  <si>
    <t>signoff() / registry.signoff()</t>
  </si>
  <si>
    <t>正式会签必须通过注册表动作留下审计记录</t>
  </si>
  <si>
    <t>材料包第八部分</t>
  </si>
  <si>
    <t>禁止方式</t>
  </si>
  <si>
    <t>不得直接 SQL 修改 legal_review_status</t>
  </si>
  <si>
    <t>触发器会拒绝直接改写状态</t>
  </si>
  <si>
    <t>版本规则</t>
  </si>
  <si>
    <t>approved 不可改；修订走新版本 + superseded</t>
  </si>
  <si>
    <t>保证历史可追溯</t>
  </si>
  <si>
    <t>规则语料/案例A说明</t>
  </si>
  <si>
    <t>金额模型</t>
  </si>
  <si>
    <t>ADR-0003 封闭集</t>
  </si>
  <si>
    <t>新增金额 kind 需法学会签 + ADR + 前向迁移</t>
  </si>
  <si>
    <t>案例覆盖层</t>
  </si>
  <si>
    <t>模板阻断</t>
  </si>
  <si>
    <t>blocked / fail-closed</t>
  </si>
  <si>
    <t>必填字段解析失败时不产正文</t>
  </si>
  <si>
    <t>模板语料</t>
  </si>
  <si>
    <t>signoff_id</t>
  </si>
  <si>
    <t>subject_kind</t>
  </si>
  <si>
    <t>subject_key(id@version)</t>
  </si>
  <si>
    <t>reviewer</t>
  </si>
  <si>
    <t>role</t>
  </si>
  <si>
    <t>decision(approved/rejected)</t>
  </si>
  <si>
    <t>日期</t>
  </si>
  <si>
    <t>comment</t>
  </si>
  <si>
    <t>填写完成后由工程侧逐条执行 registry.signoff()；占位会签以正式记录覆盖，历史记录保留。</t>
  </si>
  <si>
    <t>C案：事前介入并持续至上游犯罪实施阶段；无事前通谋；上游犯罪既遂。
B案：黄某在上游诈骗实施过程中介入、陈某在上游相应诈骗既遂后介入；两人都没有事前通谋；黄某黄某介入时上游犯罪并未整体结束、陈某介入时对应的上游诈骗已经既遂。</t>
  </si>
  <si>
    <t>A公司承担单位犯罪主体责任，甲、乙是自然人，分别作为单位犯罪中直接负责的主管人员、其他直接责任人员承担个人刑事责任；已经具备跨境属性。现有事实包括境外客户、要求使用境外服务器、用户数据向境外服务器实时传输。
黄某系自然人个人犯罪，公司不知情、不授权、不获利，不属于单位犯罪、陈某属于纯自然人犯罪；境外诈骗团伙成员遥控、使用境外加密通讯软件、资金经跨境支付通道归集境外，部分取现发生于边境城市，具有明确跨境要素。</t>
  </si>
  <si>
    <t>信息不足</t>
  </si>
  <si>
    <t>否</t>
  </si>
  <si>
    <t>是</t>
  </si>
  <si>
    <t>1,334,950元 → account_total_flow（账户总流水）
542,139元 → fraud_related_inflow（涉诈流入）/ crime_amount（犯罪数额）
6,409元 → personal_profit（个人获利）
1,334,950元或542,139元 → 视定义可归 personal_participation（个人参与数额）
6,409元追缴 → personal_profit + 可能的 restitution（退缴）</t>
  </si>
  <si>
    <t>案例A系统结果 9.0个月没有明显异常，之前的12–18个月建议偏重，应当修正建议</t>
  </si>
</sst>
</file>

<file path=xl/styles.xml><?xml version="1.0" encoding="utf-8"?>
<styleSheet xmlns="http://schemas.openxmlformats.org/spreadsheetml/2006/main">
  <numFmts count="1">
    <numFmt numFmtId="300" formatCode="General"/>
  </numFmts>
  <fonts count="12">
    <font>
      <name val="等线"/>
      <charset val="134"/>
      <family val="2"/>
      <color theme="1"/>
      <sz val="10"/>
      <scheme val="minor"/>
    </font>
    <font>
      <name val="等线"/>
      <charset val="134"/>
      <color rgb="FF175CEB"/>
      <sz val="10"/>
      <u/>
      <scheme val="minor"/>
    </font>
    <font>
      <name val="Segoe UI Symbol"/>
      <family val="2"/>
      <color rgb="FF000000"/>
      <sz val="10"/>
    </font>
    <font>
      <name val="Carlito"/>
      <b val="1"/>
      <color rgb="FFFFFFFF"/>
      <sz val="16"/>
    </font>
    <font>
      <name val="Carlito"/>
      <b val="1"/>
      <sz val="11"/>
    </font>
    <font>
      <name val="Carlito"/>
      <b val="1"/>
      <color rgb="FFFFFFFF"/>
      <sz val="11"/>
    </font>
    <font>
      <name val="Carlito"/>
      <sz val="11"/>
    </font>
    <font>
      <name val="quote-cjk-patch"/>
      <color rgb="FF0F1115"/>
      <sz val="11"/>
    </font>
    <font>
      <name val="Carlito"/>
      <sz val="11"/>
    </font>
    <font>
      <name val="Carlito"/>
      <b val="1"/>
      <color rgb="FF000000"/>
      <sz val="11"/>
    </font>
    <font>
      <name val="Carlito"/>
      <b val="1"/>
      <color rgb="FFFFFFFF"/>
      <sz val="15"/>
    </font>
    <font/>
  </fonts>
  <fills count="10">
    <fill>
      <patternFill patternType="none"/>
    </fill>
    <fill>
      <patternFill patternType="gray125"/>
    </fill>
    <fill>
      <patternFill patternType="solid">
        <fgColor rgb="FF17365D"/>
      </patternFill>
    </fill>
    <fill>
      <patternFill patternType="solid">
        <fgColor rgb="FFF6F8FB"/>
      </patternFill>
    </fill>
    <fill>
      <patternFill patternType="solid">
        <fgColor rgb="FFD9EAF7"/>
      </patternFill>
    </fill>
    <fill>
      <patternFill patternType="none"/>
    </fill>
    <fill>
      <patternFill patternType="solid">
        <fgColor rgb="FFFFF2CC"/>
      </patternFill>
    </fill>
    <fill>
      <patternFill patternType="solid">
        <bgColor rgb="FFFFF2CC"/>
      </patternFill>
    </fill>
    <fill>
      <patternFill patternType="solid">
        <bgColor rgb="FFE2F0D9"/>
      </patternFill>
    </fill>
    <fill>
      <patternFill patternType="none"/>
    </fill>
  </fills>
  <borders count="2">
    <border>
      <left/>
      <right/>
      <top/>
      <bottom/>
      <diagonal/>
    </border>
    <border/>
  </borders>
  <cellStyleXfs>
    <xf numFmtId="0" fontId="0" fillId="0" borderId="0" xfId="0">
      <alignment vertical="center"/>
    </xf>
    <xf numFmtId="300" fontId="8" fillId="9" borderId="1" xfId="0"/>
  </cellStyleXfs>
  <cellXfs count="21">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0" fontId="3" fillId="2" borderId="1" xfId="1" applyFont="1" applyFill="1" applyAlignment="1">
      <alignment horizontal="center" vertical="center"/>
    </xf>
    <xf numFmtId="300" fontId="8" fillId="3" borderId="1" xfId="1" applyFill="1" applyAlignment="1">
      <alignment vertical="center" wrapText="1"/>
    </xf>
    <xf numFmtId="300" fontId="4" fillId="4" borderId="1" xfId="1" applyFont="1" applyFill="1">
      <alignment vertical="center"/>
    </xf>
    <xf numFmtId="300" fontId="4" fillId="3" borderId="1" xfId="1" applyFont="1" applyFill="1" applyAlignment="1">
      <alignment horizontal="center"/>
    </xf>
    <xf numFmtId="300" fontId="5" fillId="2" borderId="1" xfId="1" applyFont="1" applyFill="1" applyAlignment="1">
      <alignment horizontal="center" vertical="center" wrapText="1"/>
    </xf>
    <xf numFmtId="300" fontId="8" fillId="9" borderId="1" xfId="1" applyAlignment="1">
      <alignment vertical="top" wrapText="1"/>
    </xf>
    <xf numFmtId="0" fontId="6" fillId="9" borderId="1" xfId="1" applyNumberFormat="1" applyFont="1" applyAlignment="1">
      <alignment vertical="top" wrapText="1"/>
    </xf>
    <xf numFmtId="0" fontId="8" fillId="9" borderId="1" xfId="1" applyNumberFormat="1" applyAlignment="1">
      <alignment vertical="top" wrapText="1"/>
    </xf>
    <xf fontId="7" fillId="0" borderId="0" xfId="0">
      <alignment vertical="center"/>
    </xf>
    <xf fontId="7" fillId="0" borderId="0" xfId="0">
      <alignment vertical="center" wrapText="1"/>
    </xf>
    <xf numFmtId="0" fontId="8" fillId="9" borderId="1" xfId="1" applyNumberFormat="1" applyFont="1" applyAlignment="1">
      <alignment vertical="top" wrapText="1"/>
    </xf>
    <xf numFmtId="0" fontId="8" fillId="5" borderId="1" xfId="1" applyNumberFormat="1" applyFont="1" applyFill="1" applyAlignment="1">
      <alignment vertical="top" wrapText="1"/>
    </xf>
    <xf numFmtId="300" fontId="9" fillId="4" borderId="1" xfId="1" applyFont="1" applyFill="1" applyAlignment="1">
      <alignment vertical="center" wrapText="1"/>
    </xf>
    <xf numFmtId="300" fontId="10" fillId="2" borderId="1" xfId="1" applyFont="1" applyFill="1" applyAlignment="1">
      <alignment horizontal="center"/>
    </xf>
    <xf numFmtId="300" fontId="8" fillId="6" borderId="1" xfId="1" applyFill="1" applyAlignment="1">
      <alignment wrapText="1"/>
    </xf>
    <xf fontId="11" fillId="7" borderId="0" xfId="0">
      <alignment vertical="center"/>
    </xf>
    <xf fontId="11" fillId="8" borderId="0" xfId="0">
      <alignment vertical="center"/>
    </xf>
  </cellXfs>
  <cellStyles>
    <cellStyle name="Normal" xfId="1"/>
  </cellStyles>
  <dxfs count="3">
    <dxf>
      <fill>
        <patternFill patternType="solid">
          <bgColor rgb="FFE2F0D9"/>
        </patternFill>
      </fill>
    </dxf>
    <dxf>
      <fill>
        <patternFill patternType="solid">
          <bgColor rgb="FFFFF2CC"/>
        </patternFill>
      </fill>
    </dxf>
    <dxf>
      <fill>
        <patternFill patternType="solid">
          <bgColor rgb="FFFCE4D6"/>
        </patternFill>
      </fill>
    </dxf>
  </d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7" Type="http://schemas.openxmlformats.org/officeDocument/2006/relationships/worksheet" Target="worksheets/sheet5.xml" /><Relationship Id="rId5" Type="http://schemas.openxmlformats.org/officeDocument/2006/relationships/worksheet" Target="worksheets/sheet3.xml" /><Relationship Id="rId4" Type="http://schemas.openxmlformats.org/officeDocument/2006/relationships/worksheet" Target="worksheets/sheet2.xml" /><Relationship Id="rId6" Type="http://schemas.openxmlformats.org/officeDocument/2006/relationships/worksheet" Target="worksheets/sheet4.xml" /><Relationship Id="rId11" Type="http://schemas.openxmlformats.org/officeDocument/2006/relationships/worksheet" Target="worksheets/sheet9.xml" /><Relationship Id="rId1" Type="http://schemas.openxmlformats.org/officeDocument/2006/relationships/theme" Target="theme/theme1.xml" /><Relationship Id="rId0" Type="http://schemas.openxmlformats.org/officeDocument/2006/relationships/sharedStrings" Target="sharedStrings.xml" /><Relationship Id="rId2" Type="http://schemas.openxmlformats.org/officeDocument/2006/relationships/styles" Target="styles.xml" /><Relationship Id="rId10" Type="http://schemas.openxmlformats.org/officeDocument/2006/relationships/worksheet" Target="worksheets/sheet8.xml" /><Relationship Id="rId3" Type="http://schemas.openxmlformats.org/officeDocument/2006/relationships/worksheet" Target="worksheets/sheet1.xml"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dimension ref="E13"/>
  <sheetViews>
    <sheetView showGridLines="1" workbookViewId="0"/>
  </sheetViews>
  <sheetFormatPr baseColWidth="8" defaultRowHeight="15"/>
  <cols>
    <col min="1" max="1" width="18" customWidth="1"/>
    <col min="2" max="2" width="18" customWidth="1"/>
    <col min="3" max="3" width="42" customWidth="1"/>
    <col min="4" max="4" width="20" customWidth="1"/>
    <col min="5" max="5" width="48" customWidth="1"/>
  </cols>
  <sheetData>
    <row r="1" spans="1:8" ht="28" customHeight="1">
      <c r="A1" s="4" t="s">
        <v>1</v>
      </c>
      <c r="B1" s="4" t="s"/>
      <c r="C1" s="4" t="s"/>
      <c r="D1" s="4" t="s"/>
      <c r="E1" s="4" t="s"/>
      <c r="F1" s="4" t="s"/>
      <c r="G1" s="4" t="s"/>
      <c r="H1" s="4" t="s"/>
    </row>
    <row r="2" spans="1:8">
      <c r="A2" s="5" t="s">
        <v>2</v>
      </c>
      <c r="B2" s="5" t="s"/>
      <c r="C2" s="5" t="s"/>
      <c r="D2" s="5" t="s"/>
      <c r="E2" s="5" t="s"/>
      <c r="F2" s="5" t="s"/>
      <c r="G2" s="5" t="s"/>
      <c r="H2" s="5" t="s"/>
    </row>
    <row r="4" spans="1:2">
      <c r="A4" s="6" t="s">
        <v>3</v>
      </c>
      <c r="B4" s="7">
        <v>10</v>
      </c>
    </row>
    <row r="5" spans="1:2">
      <c r="A5" s="6" t="s">
        <v>4</v>
      </c>
      <c r="B5" s="7">
        <f>=COUNTIF('10项会签'!F2:F11,"同意")+COUNTIF('10项会签'!F2:F11,"有条件同意")+COUNTIF('10项会签'!F2:F11,"不同意")+COUNTIF('10项会签'!F2:F11,"信息不足")</f>
        <v>10</v>
      </c>
    </row>
    <row r="6" spans="1:2">
      <c r="A6" s="6" t="s">
        <v>5</v>
      </c>
      <c r="B6" s="7">
        <f>=COUNTIF('10项会签'!F2:F11,"有条件同意")+COUNTIF('10项会签'!F2:F11,"不同意")+COUNTIF('10项会签'!F2:F11,"信息不足")</f>
        <v>9</v>
      </c>
    </row>
    <row r="8" spans="1:5">
      <c r="A8" s="8" t="s">
        <v>6</v>
      </c>
      <c r="B8" s="8" t="s">
        <v>7</v>
      </c>
      <c r="C8" s="8" t="s">
        <v>8</v>
      </c>
      <c r="D8" s="8" t="s">
        <v>9</v>
      </c>
      <c r="E8" s="8" t="s">
        <v>10</v>
      </c>
    </row>
    <row r="9" spans="1:5">
      <c r="A9" s="9" t="s">
        <v>11</v>
      </c>
      <c r="B9" s="9" t="s">
        <v>12</v>
      </c>
      <c r="C9" s="9" t="s">
        <v>13</v>
      </c>
      <c r="D9" s="9" t="s">
        <v>14</v>
      </c>
      <c r="E9" s="9" t="s">
        <v>15</v>
      </c>
    </row>
    <row r="10" spans="1:5">
      <c r="A10" s="9" t="s">
        <v>16</v>
      </c>
      <c r="B10" s="9" t="s">
        <v>17</v>
      </c>
      <c r="C10" s="9" t="s">
        <v>18</v>
      </c>
      <c r="D10" s="9" t="s">
        <v>19</v>
      </c>
      <c r="E10" s="9" t="s">
        <v>20</v>
      </c>
    </row>
    <row r="11" spans="1:5">
      <c r="A11" s="9" t="s">
        <v>21</v>
      </c>
      <c r="B11" s="9" t="s">
        <v>22</v>
      </c>
      <c r="C11" s="9" t="s">
        <v>23</v>
      </c>
      <c r="D11" s="9" t="s">
        <v>24</v>
      </c>
      <c r="E11" s="9" t="s">
        <v>25</v>
      </c>
    </row>
    <row r="12" spans="1:5">
      <c r="A12" s="9" t="s">
        <v>26</v>
      </c>
      <c r="B12" s="9" t="s">
        <v>27</v>
      </c>
      <c r="C12" s="9" t="s">
        <v>28</v>
      </c>
      <c r="D12" s="9" t="s">
        <v>29</v>
      </c>
      <c r="E12" s="9" t="s">
        <v>30</v>
      </c>
    </row>
    <row r="13" spans="1:5">
      <c r="A13" s="9" t="s">
        <v>31</v>
      </c>
      <c r="B13" s="9" t="s">
        <v>32</v>
      </c>
      <c r="C13" s="9" t="s">
        <v>33</v>
      </c>
      <c r="D13" s="9" t="s">
        <v>34</v>
      </c>
      <c r="E13" s="9" t="s">
        <v>35</v>
      </c>
    </row>
  </sheetData>
  <mergeCells count="2">
    <mergeCell ref="A1:H1"/>
    <mergeCell ref="A2:H2"/>
  </mergeCells>
  <pageMargins left="0.7" right="0.7" top="0.75" bottom="0.75" header="0.3" footer="0.3"/>
</worksheet>
</file>

<file path=xl/worksheets/sheet2.xml><?xml version="1.0" encoding="utf-8"?>
<worksheet xmlns="http://schemas.openxmlformats.org/spreadsheetml/2006/main">
  <sheetPr/>
  <dimension ref="I11"/>
  <sheetViews>
    <sheetView showGridLines="1" workbookViewId="0"/>
  </sheetViews>
  <sheetFormatPr baseColWidth="8" defaultRowHeight="15"/>
  <cols>
    <col min="1" max="1" width="14" customWidth="1"/>
    <col min="2" max="2" width="16" customWidth="1"/>
    <col min="3" max="3" width="37.6328" customWidth="1"/>
    <col min="4" max="4" width="35.6133" customWidth="1"/>
    <col min="5" max="5" width="12" customWidth="1"/>
    <col min="6" max="6" width="15" customWidth="1"/>
    <col min="7" max="7" width="44" customWidth="1"/>
    <col min="8" max="8" width="36" customWidth="1"/>
    <col min="9" max="9" width="28" customWidth="1"/>
  </cols>
  <sheetData>
    <row r="1" spans="1:9" ht="28" customHeight="1">
      <c r="A1" s="8" t="s">
        <v>36</v>
      </c>
      <c r="B1" s="8" t="s">
        <v>37</v>
      </c>
      <c r="C1" s="8" t="s">
        <v>38</v>
      </c>
      <c r="D1" s="8" t="s">
        <v>39</v>
      </c>
      <c r="E1" s="8" t="s">
        <v>40</v>
      </c>
      <c r="F1" s="8" t="s">
        <v>41</v>
      </c>
      <c r="G1" s="8" t="s">
        <v>42</v>
      </c>
      <c r="H1" s="8" t="s">
        <v>43</v>
      </c>
      <c r="I1" s="8" t="s">
        <v>44</v>
      </c>
    </row>
    <row r="2" spans="1:9">
      <c r="A2" s="9" t="s">
        <v>45</v>
      </c>
      <c r="B2" s="9" t="s">
        <v>46</v>
      </c>
      <c r="C2" s="9" t="s">
        <v>47</v>
      </c>
      <c r="D2" s="9" t="s">
        <v>48</v>
      </c>
      <c r="E2" s="10" t="s">
        <v>49</v>
      </c>
      <c r="F2" s="11" t="s">
        <v>50</v>
      </c>
      <c r="G2" s="10" t="s">
        <v>51</v>
      </c>
      <c r="H2" s="10" t="s">
        <v>52</v>
      </c>
      <c r="I2" s="9" t="s">
        <v>53</v>
      </c>
    </row>
    <row r="3" spans="1:9">
      <c r="A3" s="9" t="s">
        <v>54</v>
      </c>
      <c r="B3" s="9" t="s">
        <v>46</v>
      </c>
      <c r="C3" s="9" t="s">
        <v>55</v>
      </c>
      <c r="D3" s="9" t="s">
        <v>56</v>
      </c>
      <c r="E3" s="11" t="s">
        <v>49</v>
      </c>
      <c r="F3" s="11" t="s">
        <v>50</v>
      </c>
      <c r="G3" s="10" t="s">
        <v>57</v>
      </c>
      <c r="H3" s="10" t="s">
        <v>58</v>
      </c>
      <c r="I3" s="9" t="s">
        <v>59</v>
      </c>
    </row>
    <row r="4" spans="1:9">
      <c r="A4" s="9" t="s">
        <v>60</v>
      </c>
      <c r="B4" s="9" t="s">
        <v>46</v>
      </c>
      <c r="C4" s="9" t="s">
        <v>61</v>
      </c>
      <c r="D4" s="9" t="s">
        <v>62</v>
      </c>
      <c r="E4" s="11" t="s">
        <v>49</v>
      </c>
      <c r="F4" s="11" t="s">
        <v>50</v>
      </c>
      <c r="G4" s="10" t="s">
        <v>63</v>
      </c>
      <c r="H4" s="10" t="s">
        <v>64</v>
      </c>
      <c r="I4" s="9" t="s">
        <v>65</v>
      </c>
    </row>
    <row r="5" spans="1:9">
      <c r="A5" s="9" t="s">
        <v>66</v>
      </c>
      <c r="B5" s="9" t="s">
        <v>46</v>
      </c>
      <c r="C5" s="9" t="s">
        <v>67</v>
      </c>
      <c r="D5" s="9" t="s">
        <v>68</v>
      </c>
      <c r="E5" s="11" t="s">
        <v>49</v>
      </c>
      <c r="F5" s="11" t="s">
        <v>50</v>
      </c>
      <c r="G5" s="10" t="s">
        <v>69</v>
      </c>
      <c r="H5" s="10" t="s">
        <v>70</v>
      </c>
      <c r="I5" s="9" t="s">
        <v>71</v>
      </c>
    </row>
    <row r="6" spans="1:9">
      <c r="A6" s="9" t="s">
        <v>72</v>
      </c>
      <c r="B6" s="9" t="s">
        <v>46</v>
      </c>
      <c r="C6" s="9" t="s">
        <v>73</v>
      </c>
      <c r="D6" s="9" t="s">
        <v>74</v>
      </c>
      <c r="E6" s="11" t="s">
        <v>49</v>
      </c>
      <c r="F6" s="12" t="s">
        <v>50</v>
      </c>
      <c r="G6" s="13" t="s">
        <v>76</v>
      </c>
      <c r="H6" s="13" t="s">
        <v>77</v>
      </c>
      <c r="I6" s="9" t="s">
        <v>78</v>
      </c>
    </row>
    <row r="7" spans="1:9">
      <c r="A7" s="9" t="s">
        <v>79</v>
      </c>
      <c r="B7" s="9" t="s">
        <v>80</v>
      </c>
      <c r="C7" s="9" t="s">
        <v>81</v>
      </c>
      <c r="D7" s="9" t="s">
        <v>82</v>
      </c>
      <c r="E7" s="11" t="s">
        <v>49</v>
      </c>
      <c r="F7" s="11" t="s">
        <v>50</v>
      </c>
      <c r="G7" s="10" t="s">
        <v>83</v>
      </c>
      <c r="H7" s="10" t="s">
        <v>84</v>
      </c>
      <c r="I7" s="9" t="s">
        <v>85</v>
      </c>
    </row>
    <row r="8" spans="1:9">
      <c r="A8" s="9" t="s">
        <v>86</v>
      </c>
      <c r="B8" s="9" t="s">
        <v>80</v>
      </c>
      <c r="C8" s="9" t="s">
        <v>87</v>
      </c>
      <c r="D8" s="9" t="s">
        <v>88</v>
      </c>
      <c r="E8" s="11" t="s">
        <v>49</v>
      </c>
      <c r="F8" s="11" t="s">
        <v>50</v>
      </c>
      <c r="G8" s="10" t="s">
        <v>89</v>
      </c>
      <c r="H8" s="14" t="s">
        <v>84</v>
      </c>
      <c r="I8" s="9" t="s">
        <v>90</v>
      </c>
    </row>
    <row r="9" spans="1:9">
      <c r="A9" s="9" t="s">
        <v>22</v>
      </c>
      <c r="B9" s="9" t="s">
        <v>91</v>
      </c>
      <c r="C9" s="9" t="s">
        <v>92</v>
      </c>
      <c r="D9" s="9" t="s">
        <v>93</v>
      </c>
      <c r="E9" s="11" t="s">
        <v>49</v>
      </c>
      <c r="F9" s="11" t="s">
        <v>50</v>
      </c>
      <c r="G9" s="13" t="s">
        <v>94</v>
      </c>
      <c r="H9" s="13" t="s">
        <v>95</v>
      </c>
      <c r="I9" s="9" t="s">
        <v>96</v>
      </c>
    </row>
    <row r="10" spans="1:9">
      <c r="A10" s="9" t="s">
        <v>27</v>
      </c>
      <c r="B10" s="9" t="s">
        <v>97</v>
      </c>
      <c r="C10" s="9" t="s">
        <v>98</v>
      </c>
      <c r="D10" s="9" t="s">
        <v>99</v>
      </c>
      <c r="E10" s="11" t="s">
        <v>49</v>
      </c>
      <c r="F10" s="11" t="s">
        <v>100</v>
      </c>
      <c r="G10" s="10" t="s">
        <v>101</v>
      </c>
      <c r="H10" s="10" t="s">
        <v>102</v>
      </c>
      <c r="I10" s="9" t="s">
        <v>103</v>
      </c>
    </row>
    <row r="11" spans="1:9">
      <c r="A11" s="9" t="s">
        <v>32</v>
      </c>
      <c r="B11" s="9" t="s">
        <v>34</v>
      </c>
      <c r="C11" s="9" t="s">
        <v>104</v>
      </c>
      <c r="D11" s="9" t="s">
        <v>105</v>
      </c>
      <c r="E11" s="11" t="s">
        <v>49</v>
      </c>
      <c r="F11" s="10" t="s">
        <v>50</v>
      </c>
      <c r="G11" s="10" t="s">
        <v>106</v>
      </c>
      <c r="H11" s="10" t="s">
        <v>107</v>
      </c>
      <c r="I11" s="9" t="s">
        <v>108</v>
      </c>
    </row>
  </sheetData>
  <conditionalFormatting sqref="F2:F11">
    <cfRule type="expression" dxfId="0" priority="1">
      <formula>F2="同意"</formula>
    </cfRule>
  </conditionalFormatting>
  <conditionalFormatting sqref="F2:F11">
    <cfRule type="expression" dxfId="1" priority="2">
      <formula>OR(F2="有条件同意",F2="信息不足")</formula>
    </cfRule>
  </conditionalFormatting>
  <conditionalFormatting sqref="F2:F11">
    <cfRule type="expression" dxfId="2" priority="3">
      <formula>F2="不同意"</formula>
    </cfRule>
  </conditionalFormatting>
  <dataValidations>
    <dataValidation type="list" operator="between" sqref="E2:E11">
      <formula1>"待复核,复核中,已完成"</formula1>
    </dataValidation>
    <dataValidation type="list" operator="between" sqref="F2:F5">
      <formula1>"同意,有条件同意,不同意,信息不足"</formula1>
    </dataValidation>
    <dataValidation type="list" operator="between" sqref="F7:F11">
      <formula1>"同意,有条件同意,不同意,信息不足"</formula1>
    </dataValidation>
  </dataValidations>
  <pageMargins left="0.7" right="0.7" top="0.75" bottom="0.75" header="0.3" footer="0.3"/>
</worksheet>
</file>

<file path=xl/worksheets/sheet3.xml><?xml version="1.0" encoding="utf-8"?>
<worksheet xmlns="http://schemas.openxmlformats.org/spreadsheetml/2006/main">
  <sheetPr/>
  <dimension ref="H8"/>
  <sheetViews>
    <sheetView showGridLines="1" workbookViewId="0"/>
  </sheetViews>
  <sheetFormatPr baseColWidth="8" defaultRowHeight="15"/>
  <cols>
    <col min="1" max="1" width="8" customWidth="1"/>
    <col min="2" max="2" width="30" customWidth="1"/>
    <col min="3" max="3" width="50" customWidth="1"/>
    <col min="4" max="4" width="44" customWidth="1"/>
    <col min="5" max="5" width="48" customWidth="1"/>
    <col min="6" max="6" width="15" customWidth="1"/>
    <col min="7" max="7" width="44" customWidth="1"/>
    <col min="8" max="8" width="42" customWidth="1"/>
  </cols>
  <sheetData>
    <row r="1" spans="1:8" ht="28" customHeight="1">
      <c r="A1" s="8" t="s">
        <v>109</v>
      </c>
      <c r="B1" s="8" t="s">
        <v>110</v>
      </c>
      <c r="C1" s="8" t="s">
        <v>111</v>
      </c>
      <c r="D1" s="8" t="s">
        <v>112</v>
      </c>
      <c r="E1" s="8" t="s">
        <v>113</v>
      </c>
      <c r="F1" s="8" t="s">
        <v>41</v>
      </c>
      <c r="G1" s="8" t="s">
        <v>114</v>
      </c>
      <c r="H1" s="8" t="s">
        <v>115</v>
      </c>
    </row>
    <row r="2" spans="1:8">
      <c r="A2" s="9" t="s">
        <v>116</v>
      </c>
      <c r="B2" s="9" t="s">
        <v>117</v>
      </c>
      <c r="C2" s="9" t="s">
        <v>118</v>
      </c>
      <c r="D2" s="9" t="s">
        <v>119</v>
      </c>
      <c r="E2" s="9" t="s">
        <v>120</v>
      </c>
      <c r="F2" s="11" t="s">
        <v>50</v>
      </c>
      <c r="G2" s="15" t="s">
        <v>121</v>
      </c>
      <c r="H2" s="9" t="s">
        <v>122</v>
      </c>
    </row>
    <row r="3" spans="1:8">
      <c r="A3" s="9" t="s">
        <v>123</v>
      </c>
      <c r="B3" s="9" t="s">
        <v>124</v>
      </c>
      <c r="C3" s="9" t="s">
        <v>125</v>
      </c>
      <c r="D3" s="9" t="s">
        <v>126</v>
      </c>
      <c r="E3" s="9" t="s">
        <v>127</v>
      </c>
      <c r="F3" s="11" t="s">
        <v>50</v>
      </c>
      <c r="G3" s="15" t="s">
        <v>128</v>
      </c>
      <c r="H3" s="9" t="s">
        <v>129</v>
      </c>
    </row>
    <row r="4" spans="1:8">
      <c r="A4" s="9" t="s">
        <v>130</v>
      </c>
      <c r="B4" s="9" t="s">
        <v>131</v>
      </c>
      <c r="C4" s="9" t="s">
        <v>132</v>
      </c>
      <c r="D4" s="9" t="s">
        <v>133</v>
      </c>
      <c r="E4" s="9" t="s">
        <v>134</v>
      </c>
      <c r="F4" s="11" t="s">
        <v>100</v>
      </c>
      <c r="G4" s="15" t="s">
        <v>135</v>
      </c>
      <c r="H4" s="9" t="s">
        <v>136</v>
      </c>
    </row>
    <row r="5" spans="1:8">
      <c r="A5" s="9" t="s">
        <v>137</v>
      </c>
      <c r="B5" s="9" t="s">
        <v>138</v>
      </c>
      <c r="C5" s="9" t="s">
        <v>139</v>
      </c>
      <c r="D5" s="9" t="s">
        <v>140</v>
      </c>
      <c r="E5" s="9" t="s">
        <v>141</v>
      </c>
      <c r="F5" s="11" t="s">
        <v>50</v>
      </c>
      <c r="G5" s="15" t="s">
        <v>142</v>
      </c>
      <c r="H5" s="9" t="s">
        <v>143</v>
      </c>
    </row>
    <row r="6" spans="1:8">
      <c r="A6" s="9" t="s">
        <v>144</v>
      </c>
      <c r="B6" s="9" t="s">
        <v>145</v>
      </c>
      <c r="C6" s="9" t="s">
        <v>146</v>
      </c>
      <c r="D6" s="9" t="s">
        <v>147</v>
      </c>
      <c r="E6" s="9" t="s">
        <v>148</v>
      </c>
      <c r="F6" s="11" t="s">
        <v>100</v>
      </c>
      <c r="G6" s="15" t="s">
        <v>106</v>
      </c>
      <c r="H6" s="9" t="s">
        <v>149</v>
      </c>
    </row>
    <row r="7" spans="1:8">
      <c r="A7" s="9" t="s">
        <v>150</v>
      </c>
      <c r="B7" s="9" t="s">
        <v>151</v>
      </c>
      <c r="C7" s="9" t="s">
        <v>152</v>
      </c>
      <c r="D7" s="9" t="s">
        <v>153</v>
      </c>
      <c r="E7" s="9" t="s">
        <v>154</v>
      </c>
      <c r="F7" s="11" t="s">
        <v>100</v>
      </c>
      <c r="G7" s="15" t="s">
        <v>155</v>
      </c>
      <c r="H7" s="9" t="s">
        <v>156</v>
      </c>
    </row>
    <row r="8" spans="1:8">
      <c r="A8" s="9" t="s">
        <v>157</v>
      </c>
      <c r="B8" s="9" t="s">
        <v>158</v>
      </c>
      <c r="C8" s="9" t="s">
        <v>159</v>
      </c>
      <c r="D8" s="9" t="s">
        <v>160</v>
      </c>
      <c r="E8" s="9" t="s">
        <v>161</v>
      </c>
      <c r="F8" s="11" t="s">
        <v>100</v>
      </c>
      <c r="G8" s="10" t="s">
        <v>389</v>
      </c>
      <c r="H8" s="9" t="s">
        <v>162</v>
      </c>
    </row>
  </sheetData>
  <dataValidations>
    <dataValidation type="list" operator="between" sqref="F2:F8">
      <formula1>"同意,有条件同意,不同意,信息不足"</formula1>
    </dataValidation>
  </dataValidations>
  <pageMargins left="0.7" right="0.7" top="0.75" bottom="0.75" header="0.3" footer="0.3"/>
</worksheet>
</file>

<file path=xl/worksheets/sheet4.xml><?xml version="1.0" encoding="utf-8"?>
<worksheet xmlns="http://schemas.openxmlformats.org/spreadsheetml/2006/main">
  <sheetPr/>
  <dimension ref="H11"/>
  <sheetViews>
    <sheetView showGridLines="1" workbookViewId="0"/>
  </sheetViews>
  <sheetFormatPr baseColWidth="8" defaultRowHeight="15"/>
  <cols>
    <col min="1" max="1" width="8" customWidth="1"/>
    <col min="2" max="2" width="48" customWidth="1"/>
    <col min="3" max="3" width="24" customWidth="1"/>
    <col min="4" max="4" width="48" customWidth="1"/>
    <col min="5" max="5" width="30" customWidth="1"/>
    <col min="6" max="6" width="15" customWidth="1"/>
    <col min="7" max="7" width="40" customWidth="1"/>
    <col min="8" max="8" width="38" customWidth="1"/>
  </cols>
  <sheetData>
    <row r="1" spans="1:8" ht="28" customHeight="1">
      <c r="A1" s="8" t="s">
        <v>163</v>
      </c>
      <c r="B1" s="8" t="s">
        <v>164</v>
      </c>
      <c r="C1" s="8" t="s">
        <v>165</v>
      </c>
      <c r="D1" s="8" t="s">
        <v>166</v>
      </c>
      <c r="E1" s="8" t="s">
        <v>167</v>
      </c>
      <c r="F1" s="8" t="s">
        <v>41</v>
      </c>
      <c r="G1" s="8" t="s">
        <v>168</v>
      </c>
      <c r="H1" s="8" t="s">
        <v>169</v>
      </c>
    </row>
    <row r="2" spans="1:8">
      <c r="A2" s="9" t="s">
        <v>116</v>
      </c>
      <c r="B2" s="9" t="s">
        <v>170</v>
      </c>
      <c r="C2" s="9" t="s">
        <v>171</v>
      </c>
      <c r="D2" s="9" t="s">
        <v>172</v>
      </c>
      <c r="E2" s="9" t="s">
        <v>173</v>
      </c>
      <c r="F2" s="11" t="s">
        <v>100</v>
      </c>
      <c r="G2" s="15" t="s">
        <v>174</v>
      </c>
      <c r="H2" s="9" t="s">
        <v>175</v>
      </c>
    </row>
    <row r="3" spans="1:8">
      <c r="A3" s="9" t="s">
        <v>123</v>
      </c>
      <c r="B3" s="9" t="s">
        <v>176</v>
      </c>
      <c r="C3" s="9" t="s">
        <v>177</v>
      </c>
      <c r="D3" s="9" t="s">
        <v>178</v>
      </c>
      <c r="E3" s="9" t="s">
        <v>173</v>
      </c>
      <c r="F3" s="11" t="s">
        <v>100</v>
      </c>
      <c r="G3" s="15" t="s">
        <v>179</v>
      </c>
      <c r="H3" s="9" t="s">
        <v>180</v>
      </c>
    </row>
    <row r="4" spans="1:8">
      <c r="A4" s="9" t="s">
        <v>130</v>
      </c>
      <c r="B4" s="9" t="s">
        <v>181</v>
      </c>
      <c r="C4" s="9" t="s">
        <v>182</v>
      </c>
      <c r="D4" s="9" t="s">
        <v>183</v>
      </c>
      <c r="E4" s="9" t="s">
        <v>173</v>
      </c>
      <c r="F4" s="11" t="s">
        <v>100</v>
      </c>
      <c r="G4" s="15" t="s">
        <v>184</v>
      </c>
      <c r="H4" s="9" t="s">
        <v>185</v>
      </c>
    </row>
    <row r="5" spans="1:8">
      <c r="A5" s="9" t="s">
        <v>137</v>
      </c>
      <c r="B5" s="9" t="s">
        <v>186</v>
      </c>
      <c r="C5" s="9" t="s">
        <v>177</v>
      </c>
      <c r="D5" s="9" t="s">
        <v>187</v>
      </c>
      <c r="E5" s="9" t="s">
        <v>173</v>
      </c>
      <c r="F5" s="11" t="s">
        <v>100</v>
      </c>
      <c r="G5" s="15" t="s">
        <v>106</v>
      </c>
      <c r="H5" s="9" t="s">
        <v>188</v>
      </c>
    </row>
    <row r="6" spans="1:8">
      <c r="A6" s="9" t="s">
        <v>144</v>
      </c>
      <c r="B6" s="9" t="s">
        <v>189</v>
      </c>
      <c r="C6" s="9" t="s">
        <v>190</v>
      </c>
      <c r="D6" s="9" t="s">
        <v>191</v>
      </c>
      <c r="E6" s="9" t="s">
        <v>173</v>
      </c>
      <c r="F6" s="11" t="s">
        <v>100</v>
      </c>
      <c r="G6" s="15" t="s">
        <v>192</v>
      </c>
      <c r="H6" s="9" t="s">
        <v>193</v>
      </c>
    </row>
    <row r="7" spans="1:8">
      <c r="A7" s="9" t="s">
        <v>150</v>
      </c>
      <c r="B7" s="9" t="s">
        <v>194</v>
      </c>
      <c r="C7" s="9" t="s">
        <v>195</v>
      </c>
      <c r="D7" s="9" t="s">
        <v>196</v>
      </c>
      <c r="E7" s="9" t="s">
        <v>173</v>
      </c>
      <c r="F7" s="11" t="s">
        <v>100</v>
      </c>
      <c r="G7" s="15" t="s">
        <v>106</v>
      </c>
      <c r="H7" s="9" t="s">
        <v>197</v>
      </c>
    </row>
    <row r="8" spans="1:8">
      <c r="A8" s="9" t="s">
        <v>157</v>
      </c>
      <c r="B8" s="9" t="s">
        <v>198</v>
      </c>
      <c r="C8" s="9" t="s">
        <v>199</v>
      </c>
      <c r="D8" s="9" t="s">
        <v>200</v>
      </c>
      <c r="E8" s="9" t="s">
        <v>173</v>
      </c>
      <c r="F8" s="11" t="s">
        <v>100</v>
      </c>
      <c r="G8" s="15" t="s">
        <v>201</v>
      </c>
      <c r="H8" s="9" t="s">
        <v>202</v>
      </c>
    </row>
    <row r="9" spans="1:8">
      <c r="A9" s="9" t="s">
        <v>203</v>
      </c>
      <c r="B9" s="9" t="s">
        <v>204</v>
      </c>
      <c r="C9" s="9" t="s">
        <v>205</v>
      </c>
      <c r="D9" s="9" t="s">
        <v>206</v>
      </c>
      <c r="E9" s="9" t="s">
        <v>173</v>
      </c>
      <c r="F9" s="11" t="s">
        <v>100</v>
      </c>
      <c r="G9" s="15" t="s">
        <v>207</v>
      </c>
      <c r="H9" s="9" t="s">
        <v>208</v>
      </c>
    </row>
    <row r="10" spans="1:8">
      <c r="A10" s="9" t="s">
        <v>209</v>
      </c>
      <c r="B10" s="9" t="s">
        <v>210</v>
      </c>
      <c r="C10" s="9" t="s">
        <v>211</v>
      </c>
      <c r="D10" s="9" t="s">
        <v>212</v>
      </c>
      <c r="E10" s="9" t="s">
        <v>173</v>
      </c>
      <c r="F10" s="11" t="s">
        <v>100</v>
      </c>
      <c r="G10" s="15" t="s">
        <v>213</v>
      </c>
      <c r="H10" s="9" t="s">
        <v>214</v>
      </c>
    </row>
    <row r="11" spans="1:8">
      <c r="A11" s="9" t="s">
        <v>215</v>
      </c>
      <c r="B11" s="9" t="s">
        <v>216</v>
      </c>
      <c r="C11" s="9" t="s">
        <v>217</v>
      </c>
      <c r="D11" s="9" t="s">
        <v>218</v>
      </c>
      <c r="E11" s="9" t="s">
        <v>173</v>
      </c>
      <c r="F11" s="11" t="s">
        <v>50</v>
      </c>
      <c r="G11" s="15" t="s">
        <v>219</v>
      </c>
      <c r="H11" s="9" t="s">
        <v>220</v>
      </c>
    </row>
  </sheetData>
  <dataValidations>
    <dataValidation type="list" operator="between" sqref="F2:F11">
      <formula1>"同意,有条件同意,不同意,信息不足"</formula1>
    </dataValidation>
  </dataValidations>
  <pageMargins left="0.7" right="0.7" top="0.75" bottom="0.75" header="0.3" footer="0.3"/>
</worksheet>
</file>

<file path=xl/worksheets/sheet5.xml><?xml version="1.0" encoding="utf-8"?>
<worksheet xmlns="http://schemas.openxmlformats.org/spreadsheetml/2006/main">
  <sheetPr/>
  <dimension ref="G4"/>
  <sheetViews>
    <sheetView showGridLines="1" workbookViewId="0"/>
  </sheetViews>
  <sheetFormatPr baseColWidth="8" defaultRowHeight="15"/>
  <cols>
    <col min="1" max="1" width="28" customWidth="1"/>
    <col min="2" max="2" width="28" customWidth="1"/>
    <col min="3" max="3" width="52" customWidth="1"/>
    <col min="4" max="4" width="32" customWidth="1"/>
    <col min="5" max="5" width="15" customWidth="1"/>
    <col min="6" max="6" width="44" customWidth="1"/>
    <col min="7" max="7" width="28" customWidth="1"/>
  </cols>
  <sheetData>
    <row r="1" spans="1:7" ht="28" customHeight="1">
      <c r="A1" s="8" t="s">
        <v>221</v>
      </c>
      <c r="B1" s="8" t="s">
        <v>222</v>
      </c>
      <c r="C1" s="8" t="s">
        <v>223</v>
      </c>
      <c r="D1" s="8" t="s">
        <v>224</v>
      </c>
      <c r="E1" s="8" t="s">
        <v>41</v>
      </c>
      <c r="F1" s="8" t="s">
        <v>225</v>
      </c>
      <c r="G1" s="8" t="s">
        <v>226</v>
      </c>
    </row>
    <row r="2" spans="1:7">
      <c r="A2" s="9" t="s">
        <v>227</v>
      </c>
      <c r="B2" s="9" t="s">
        <v>228</v>
      </c>
      <c r="C2" s="9" t="s">
        <v>229</v>
      </c>
      <c r="D2" s="9" t="s">
        <v>230</v>
      </c>
      <c r="E2" s="12" t="s">
        <v>50</v>
      </c>
      <c r="F2" s="13" t="s">
        <v>231</v>
      </c>
      <c r="G2" s="9" t="s">
        <v>232</v>
      </c>
    </row>
    <row r="3" spans="1:7">
      <c r="A3" s="9" t="s">
        <v>233</v>
      </c>
      <c r="B3" s="9" t="s">
        <v>234</v>
      </c>
      <c r="C3" s="9" t="s">
        <v>235</v>
      </c>
      <c r="D3" s="9" t="s">
        <v>236</v>
      </c>
      <c r="E3" s="11" t="s">
        <v>50</v>
      </c>
      <c r="F3" s="13" t="s">
        <v>237</v>
      </c>
      <c r="G3" s="9" t="s">
        <v>238</v>
      </c>
    </row>
    <row r="4" spans="1:7">
      <c r="A4" s="9" t="s">
        <v>239</v>
      </c>
      <c r="B4" s="9" t="s">
        <v>240</v>
      </c>
      <c r="C4" s="9" t="s">
        <v>241</v>
      </c>
      <c r="D4" s="9" t="s">
        <v>242</v>
      </c>
      <c r="E4" s="11" t="s">
        <v>50</v>
      </c>
      <c r="F4" s="13" t="s">
        <v>243</v>
      </c>
      <c r="G4" s="9" t="s">
        <v>22</v>
      </c>
    </row>
  </sheetData>
  <dataValidations>
    <dataValidation type="list" operator="between" sqref="E3:E4">
      <formula1>"同意,有条件同意,不同意,信息不足"</formula1>
    </dataValidation>
  </dataValidations>
  <pageMargins left="0.7" right="0.7" top="0.75" bottom="0.75" header="0.3" footer="0.3"/>
</worksheet>
</file>

<file path=xl/worksheets/sheet6.xml><?xml version="1.0" encoding="utf-8"?>
<worksheet xmlns="http://schemas.openxmlformats.org/spreadsheetml/2006/main">
  <sheetPr/>
  <dimension ref="H18"/>
  <sheetViews>
    <sheetView showGridLines="1" workbookViewId="0"/>
  </sheetViews>
  <sheetFormatPr baseColWidth="8" defaultRowHeight="15"/>
  <cols>
    <col min="1" max="1" width="28" customWidth="1"/>
    <col min="2" max="2" width="20" customWidth="1"/>
    <col min="3" max="3" width="54" customWidth="1"/>
    <col min="4" max="4" width="42" customWidth="1"/>
    <col min="5" max="5" width="42" customWidth="1"/>
    <col min="6" max="6" width="15" customWidth="1"/>
    <col min="7" max="7" width="40" customWidth="1"/>
    <col min="8" max="8" width="42" customWidth="1"/>
  </cols>
  <sheetData>
    <row r="1" spans="1:8" ht="28" customHeight="1">
      <c r="A1" s="8" t="s">
        <v>244</v>
      </c>
      <c r="B1" s="8" t="s">
        <v>245</v>
      </c>
      <c r="C1" s="8" t="s">
        <v>246</v>
      </c>
      <c r="D1" s="8" t="s">
        <v>247</v>
      </c>
      <c r="E1" s="8" t="s">
        <v>248</v>
      </c>
      <c r="F1" s="8" t="s">
        <v>41</v>
      </c>
      <c r="G1" s="8" t="s">
        <v>249</v>
      </c>
      <c r="H1" s="8" t="s">
        <v>250</v>
      </c>
    </row>
    <row r="2" spans="1:8">
      <c r="A2" s="9" t="s">
        <v>251</v>
      </c>
      <c r="B2" s="9" t="s">
        <v>252</v>
      </c>
      <c r="C2" s="9" t="s">
        <v>253</v>
      </c>
      <c r="D2" s="9" t="s">
        <v>254</v>
      </c>
      <c r="E2" s="9" t="s">
        <v>255</v>
      </c>
      <c r="F2" s="11" t="s"/>
      <c r="G2" s="9" t="s"/>
      <c r="H2" s="9" t="s">
        <v>256</v>
      </c>
    </row>
    <row r="3" spans="1:8">
      <c r="A3" s="9" t="s">
        <v>257</v>
      </c>
      <c r="B3" s="9" t="s">
        <v>258</v>
      </c>
      <c r="C3" s="9" t="s">
        <v>259</v>
      </c>
      <c r="D3" s="10" t="s">
        <v>383</v>
      </c>
      <c r="E3" s="10" t="s">
        <v>261</v>
      </c>
      <c r="F3" s="11" t="s"/>
      <c r="G3" s="9" t="s"/>
      <c r="H3" s="9" t="s">
        <v>262</v>
      </c>
    </row>
    <row r="4" spans="1:8">
      <c r="A4" s="9" t="s">
        <v>263</v>
      </c>
      <c r="B4" s="9" t="s">
        <v>258</v>
      </c>
      <c r="C4" s="9" t="s">
        <v>264</v>
      </c>
      <c r="D4" s="10" t="s">
        <v>384</v>
      </c>
      <c r="E4" s="10" t="s">
        <v>261</v>
      </c>
      <c r="F4" s="11" t="s"/>
      <c r="G4" s="9" t="s"/>
      <c r="H4" s="9" t="s">
        <v>267</v>
      </c>
    </row>
    <row r="6" spans="1:7">
      <c r="A6" s="16" t="s">
        <v>268</v>
      </c>
      <c r="B6" s="16" t="s"/>
      <c r="C6" s="16" t="s"/>
      <c r="D6" s="16" t="s"/>
      <c r="F6" s="16" t="s">
        <v>269</v>
      </c>
      <c r="G6" s="16" t="s"/>
    </row>
    <row r="7" spans="1:7">
      <c r="A7" s="8" t="s">
        <v>270</v>
      </c>
      <c r="B7" s="8" t="s">
        <v>271</v>
      </c>
      <c r="C7" s="8" t="s">
        <v>272</v>
      </c>
      <c r="D7" s="8" t="s">
        <v>273</v>
      </c>
      <c r="F7" s="8" t="s">
        <v>274</v>
      </c>
      <c r="G7" s="8" t="s">
        <v>275</v>
      </c>
    </row>
    <row r="8" spans="1:7">
      <c r="A8" s="9" t="s">
        <v>276</v>
      </c>
      <c r="B8" s="9" t="s">
        <v>277</v>
      </c>
      <c r="C8" s="9" t="s">
        <v>278</v>
      </c>
      <c r="D8" s="9" t="s">
        <v>279</v>
      </c>
      <c r="F8" s="9" t="s">
        <v>280</v>
      </c>
      <c r="G8" s="9" t="s">
        <v>281</v>
      </c>
    </row>
    <row r="9" spans="1:7">
      <c r="A9" s="9" t="s">
        <v>282</v>
      </c>
      <c r="B9" s="9" t="s">
        <v>283</v>
      </c>
      <c r="C9" s="9" t="s">
        <v>284</v>
      </c>
      <c r="D9" s="9" t="s">
        <v>285</v>
      </c>
      <c r="F9" s="9" t="s">
        <v>286</v>
      </c>
      <c r="G9" s="9" t="s">
        <v>287</v>
      </c>
    </row>
    <row r="10" spans="1:7">
      <c r="A10" s="9" t="s">
        <v>288</v>
      </c>
      <c r="B10" s="9" t="s">
        <v>289</v>
      </c>
      <c r="C10" s="9" t="s">
        <v>290</v>
      </c>
      <c r="D10" s="9" t="s">
        <v>291</v>
      </c>
      <c r="F10" s="9" t="s">
        <v>292</v>
      </c>
      <c r="G10" s="9" t="s">
        <v>293</v>
      </c>
    </row>
    <row r="11" spans="1:7">
      <c r="A11" s="9" t="s">
        <v>294</v>
      </c>
      <c r="B11" s="9" t="s">
        <v>295</v>
      </c>
      <c r="C11" s="9" t="s">
        <v>290</v>
      </c>
      <c r="D11" s="9" t="s">
        <v>296</v>
      </c>
      <c r="F11" s="9" t="s">
        <v>297</v>
      </c>
      <c r="G11" s="9" t="s">
        <v>298</v>
      </c>
    </row>
    <row r="12" spans="1:7">
      <c r="A12" s="9" t="s">
        <v>299</v>
      </c>
      <c r="B12" s="9" t="s">
        <v>300</v>
      </c>
      <c r="C12" s="9" t="s">
        <v>301</v>
      </c>
      <c r="D12" s="9" t="s">
        <v>302</v>
      </c>
      <c r="F12" s="9" t="s">
        <v>303</v>
      </c>
      <c r="G12" s="9" t="s">
        <v>304</v>
      </c>
    </row>
    <row r="13" spans="1:7">
      <c r="A13" s="9" t="s">
        <v>305</v>
      </c>
      <c r="B13" s="9" t="s">
        <v>306</v>
      </c>
      <c r="C13" s="9" t="s">
        <v>290</v>
      </c>
      <c r="D13" s="9" t="s">
        <v>307</v>
      </c>
      <c r="F13" s="9" t="s">
        <v>308</v>
      </c>
      <c r="G13" s="9" t="s">
        <v>309</v>
      </c>
    </row>
    <row r="14" spans="1:4">
      <c r="A14" s="9" t="s">
        <v>310</v>
      </c>
      <c r="B14" s="9" t="s">
        <v>311</v>
      </c>
      <c r="C14" s="9" t="s">
        <v>312</v>
      </c>
      <c r="D14" s="9" t="s">
        <v>313</v>
      </c>
    </row>
    <row r="15" spans="1:4">
      <c r="A15" s="9" t="s">
        <v>314</v>
      </c>
      <c r="B15" s="9" t="s">
        <v>315</v>
      </c>
      <c r="C15" s="9" t="s">
        <v>316</v>
      </c>
      <c r="D15" s="9" t="s">
        <v>317</v>
      </c>
    </row>
    <row r="16" spans="1:4">
      <c r="A16" s="9" t="s">
        <v>318</v>
      </c>
      <c r="B16" s="9" t="s">
        <v>319</v>
      </c>
      <c r="C16" s="9" t="s">
        <v>290</v>
      </c>
      <c r="D16" s="9" t="s">
        <v>317</v>
      </c>
    </row>
    <row r="17" spans="1:4">
      <c r="A17" s="9" t="s">
        <v>320</v>
      </c>
      <c r="B17" s="9" t="s">
        <v>321</v>
      </c>
      <c r="C17" s="9" t="s">
        <v>290</v>
      </c>
      <c r="D17" s="9" t="s">
        <v>322</v>
      </c>
    </row>
    <row r="18" spans="1:4">
      <c r="A18" s="9" t="s">
        <v>323</v>
      </c>
      <c r="B18" s="9" t="s">
        <v>324</v>
      </c>
      <c r="C18" s="9" t="s">
        <v>325</v>
      </c>
      <c r="D18" s="9" t="s">
        <v>326</v>
      </c>
    </row>
  </sheetData>
  <mergeCells count="2">
    <mergeCell ref="A6:D6"/>
    <mergeCell ref="F6:G6"/>
  </mergeCells>
  <dataValidations>
    <dataValidation type="list" operator="between" sqref="F2:F4">
      <formula1>"同意,有条件同意,不同意,信息不足"</formula1>
    </dataValidation>
  </dataValidations>
  <pageMargins left="0.7" right="0.7" top="0.75" bottom="0.75" header="0.3" footer="0.3"/>
</worksheet>
</file>

<file path=xl/worksheets/sheet7.xml><?xml version="1.0" encoding="utf-8"?>
<worksheet xmlns="http://schemas.openxmlformats.org/spreadsheetml/2006/main">
  <sheetPr/>
  <dimension ref="E8"/>
  <sheetViews>
    <sheetView showGridLines="1" workbookViewId="0"/>
  </sheetViews>
  <sheetFormatPr baseColWidth="8" defaultRowHeight="15"/>
  <cols>
    <col min="1" max="1" width="26" customWidth="1"/>
    <col min="2" max="2" width="60" customWidth="1"/>
    <col min="3" max="3" width="5" customWidth="1"/>
    <col min="4" max="4" width="28" customWidth="1"/>
    <col min="5" max="5" width="50" customWidth="1"/>
  </cols>
  <sheetData>
    <row r="1" spans="1:6" ht="28" customHeight="1">
      <c r="A1" s="17" t="s">
        <v>327</v>
      </c>
      <c r="B1" s="17" t="s"/>
      <c r="C1" s="17" t="s"/>
      <c r="D1" s="17" t="s"/>
      <c r="E1" s="17" t="s"/>
      <c r="F1" s="17" t="s"/>
    </row>
    <row r="3" spans="1:5">
      <c r="A3" s="8" t="s">
        <v>328</v>
      </c>
      <c r="B3" s="8" t="s">
        <v>329</v>
      </c>
      <c r="D3" s="8" t="s">
        <v>330</v>
      </c>
      <c r="E3" s="8" t="s">
        <v>331</v>
      </c>
    </row>
    <row r="4" spans="1:5">
      <c r="A4" s="9" t="s">
        <v>332</v>
      </c>
      <c r="B4" s="9" t="s">
        <v>333</v>
      </c>
      <c r="D4" s="9" t="s">
        <v>334</v>
      </c>
      <c r="E4" s="11" t="s">
        <v>385</v>
      </c>
    </row>
    <row r="5" spans="1:5">
      <c r="A5" s="9" t="s">
        <v>335</v>
      </c>
      <c r="B5" s="9" t="s">
        <v>336</v>
      </c>
      <c r="D5" s="9" t="s">
        <v>337</v>
      </c>
      <c r="E5" s="10" t="s">
        <v>386</v>
      </c>
    </row>
    <row r="6" spans="1:5">
      <c r="A6" s="9" t="s">
        <v>338</v>
      </c>
      <c r="B6" s="9" t="s">
        <v>339</v>
      </c>
      <c r="D6" s="9" t="s">
        <v>340</v>
      </c>
      <c r="E6" s="10" t="s">
        <v>387</v>
      </c>
    </row>
    <row r="7" spans="1:5">
      <c r="A7" s="9" t="s">
        <v>341</v>
      </c>
      <c r="B7" s="9" t="s">
        <v>342</v>
      </c>
      <c r="D7" s="9" t="s">
        <v>343</v>
      </c>
      <c r="E7" s="11" t="s">
        <v>387</v>
      </c>
    </row>
    <row r="8" spans="1:5">
      <c r="A8" s="9" t="s">
        <v>344</v>
      </c>
      <c r="B8" s="9" t="s">
        <v>345</v>
      </c>
      <c r="D8" s="9" t="s">
        <v>346</v>
      </c>
      <c r="E8" s="10" t="s">
        <v>107</v>
      </c>
    </row>
  </sheetData>
  <mergeCells count="1">
    <mergeCell ref="A1:F1"/>
  </mergeCells>
  <dataValidations>
    <dataValidation type="list" operator="between" sqref="E4">
      <formula1>"规则基准档偏低,存在未建模情节,两者均有,信息不足"</formula1>
    </dataValidation>
    <dataValidation type="list" operator="between" sqref="E5:E7">
      <formula1>"是,否,信息不足"</formula1>
    </dataValidation>
  </dataValidations>
  <pageMargins left="0.7" right="0.7" top="0.75" bottom="0.75" header="0.3" footer="0.3"/>
</worksheet>
</file>

<file path=xl/worksheets/sheet8.xml><?xml version="1.0" encoding="utf-8"?>
<worksheet xmlns="http://schemas.openxmlformats.org/spreadsheetml/2006/main">
  <sheetPr/>
  <dimension ref="D7"/>
  <sheetViews>
    <sheetView showGridLines="1" workbookViewId="0"/>
  </sheetViews>
  <sheetFormatPr baseColWidth="8" defaultRowHeight="15"/>
  <cols>
    <col min="1" max="1" width="24" customWidth="1"/>
    <col min="2" max="2" width="44" customWidth="1"/>
    <col min="3" max="3" width="52" customWidth="1"/>
    <col min="4" max="4" width="28" customWidth="1"/>
  </cols>
  <sheetData>
    <row r="1" spans="1:4" ht="28" customHeight="1">
      <c r="A1" s="8" t="s">
        <v>347</v>
      </c>
      <c r="B1" s="8" t="s">
        <v>348</v>
      </c>
      <c r="C1" s="8" t="s">
        <v>349</v>
      </c>
      <c r="D1" s="8" t="s">
        <v>350</v>
      </c>
    </row>
    <row r="2" spans="1:4">
      <c r="A2" s="9" t="s">
        <v>351</v>
      </c>
      <c r="B2" s="9" t="s">
        <v>352</v>
      </c>
      <c r="C2" s="9" t="s">
        <v>353</v>
      </c>
      <c r="D2" s="9" t="s">
        <v>354</v>
      </c>
    </row>
    <row r="3" spans="1:4">
      <c r="A3" s="9" t="s">
        <v>355</v>
      </c>
      <c r="B3" s="9" t="s">
        <v>356</v>
      </c>
      <c r="C3" s="9" t="s">
        <v>357</v>
      </c>
      <c r="D3" s="9" t="s">
        <v>358</v>
      </c>
    </row>
    <row r="4" spans="1:4">
      <c r="A4" s="9" t="s">
        <v>359</v>
      </c>
      <c r="B4" s="9" t="s">
        <v>360</v>
      </c>
      <c r="C4" s="9" t="s">
        <v>361</v>
      </c>
      <c r="D4" s="9" t="s">
        <v>358</v>
      </c>
    </row>
    <row r="5" spans="1:4">
      <c r="A5" s="9" t="s">
        <v>362</v>
      </c>
      <c r="B5" s="9" t="s">
        <v>363</v>
      </c>
      <c r="C5" s="9" t="s">
        <v>364</v>
      </c>
      <c r="D5" s="9" t="s">
        <v>365</v>
      </c>
    </row>
    <row r="6" spans="1:4">
      <c r="A6" s="9" t="s">
        <v>366</v>
      </c>
      <c r="B6" s="9" t="s">
        <v>367</v>
      </c>
      <c r="C6" s="9" t="s">
        <v>368</v>
      </c>
      <c r="D6" s="9" t="s">
        <v>369</v>
      </c>
    </row>
    <row r="7" spans="1:4">
      <c r="A7" s="9" t="s">
        <v>370</v>
      </c>
      <c r="B7" s="9" t="s">
        <v>371</v>
      </c>
      <c r="C7" s="9" t="s">
        <v>372</v>
      </c>
      <c r="D7" s="9" t="s">
        <v>373</v>
      </c>
    </row>
  </sheetData>
  <pageMargins left="0.7" right="0.7" top="0.75" bottom="0.75" header="0.3" footer="0.3"/>
</worksheet>
</file>

<file path=xl/worksheets/sheet9.xml><?xml version="1.0" encoding="utf-8"?>
<worksheet xmlns="http://schemas.openxmlformats.org/spreadsheetml/2006/main">
  <sheetPr/>
  <dimension ref="H19"/>
  <sheetViews>
    <sheetView showGridLines="1" workbookViewId="0"/>
  </sheetViews>
  <sheetFormatPr baseColWidth="8" defaultRowHeight="15"/>
  <cols>
    <col min="1" max="1" width="18" customWidth="1"/>
    <col min="2" max="2" width="20" customWidth="1"/>
    <col min="3" max="3" width="42" customWidth="1"/>
    <col min="4" max="4" width="20" customWidth="1"/>
    <col min="5" max="5" width="24" customWidth="1"/>
    <col min="6" max="6" width="26" customWidth="1"/>
    <col min="7" max="7" width="16" customWidth="1"/>
    <col min="8" max="8" width="60" customWidth="1"/>
  </cols>
  <sheetData>
    <row r="1" spans="1:8" ht="28" customHeight="1">
      <c r="A1" s="8" t="s">
        <v>374</v>
      </c>
      <c r="B1" s="8" t="s">
        <v>375</v>
      </c>
      <c r="C1" s="8" t="s">
        <v>376</v>
      </c>
      <c r="D1" s="8" t="s">
        <v>377</v>
      </c>
      <c r="E1" s="8" t="s">
        <v>378</v>
      </c>
      <c r="F1" s="8" t="s">
        <v>379</v>
      </c>
      <c r="G1" s="8" t="s">
        <v>380</v>
      </c>
      <c r="H1" s="8" t="s">
        <v>381</v>
      </c>
    </row>
    <row r="2">
      <c r="A2" t="inlineStr">
        <is>
          <t>c8dfb894-15ff-492f-8897-9e4ff5dd7df0</t>
        </is>
      </c>
      <c r="B2" t="inlineStr">
        <is>
          <t>legal_source</t>
        </is>
      </c>
      <c r="C2" t="inlineStr">
        <is>
          <t>cn-criminal-law-287-2-current@current-text-checked-2026-09-14</t>
        </is>
      </c>
      <c r="D2" t="inlineStr">
        <is>
          <t>王思雨</t>
        </is>
      </c>
      <c r="E2" t="inlineStr">
        <is>
          <t>法学复核人（法学生）</t>
        </is>
      </c>
      <c r="F2" t="inlineStr">
        <is>
          <t>approved</t>
        </is>
      </c>
      <c r="G2" t="inlineStr">
        <is>
          <t>2026-10-09</t>
        </is>
      </c>
      <c r="H2" t="inlineStr">
        <is>
          <t>SIGNOFF-007｜法学生复核版会签清单 2026-10-09｜结论：同意｜意见：①2015年刑法修正案（九）增设帮信罪；②别名可补充：两卡犯罪</t>
        </is>
      </c>
    </row>
    <row r="3">
      <c r="A3" t="inlineStr">
        <is>
          <t>e70c16e6-7b24-462a-883b-a2e2eb5eac31</t>
        </is>
      </c>
      <c r="B3" t="inlineStr">
        <is>
          <t>legal_source</t>
        </is>
      </c>
      <c r="C3" t="inlineStr">
        <is>
          <t>cn-criminal-law-266-current@current-text-checked-2026-09-14</t>
        </is>
      </c>
      <c r="D3" t="inlineStr">
        <is>
          <t>王思雨</t>
        </is>
      </c>
      <c r="E3" t="inlineStr">
        <is>
          <t>法学复核人（法学生）</t>
        </is>
      </c>
      <c r="F3" t="inlineStr">
        <is>
          <t>approved</t>
        </is>
      </c>
      <c r="G3" t="inlineStr">
        <is>
          <t>2026-10-09</t>
        </is>
      </c>
      <c r="H3" t="inlineStr">
        <is>
          <t>SIGNOFF-007｜法学生复核版会签清单 2026-10-09｜结论：同意｜意见：①79旧刑法诈骗罪是第151、152条，97修订时单独设立为第266条；②别名可补充：电诈、电信网络诈骗</t>
        </is>
      </c>
    </row>
    <row r="4">
      <c r="A4" t="inlineStr">
        <is>
          <t>ce77bb88-60ac-4b90-8620-b44545747e62</t>
        </is>
      </c>
      <c r="B4" t="inlineStr">
        <is>
          <t>legal_source</t>
        </is>
      </c>
      <c r="C4" t="inlineStr">
        <is>
          <t>cn-criminal-law-312-current@current-text-checked-2026-09-14</t>
        </is>
      </c>
      <c r="D4" t="inlineStr">
        <is>
          <t>王思雨</t>
        </is>
      </c>
      <c r="E4" t="inlineStr">
        <is>
          <t>法学复核人（法学生）</t>
        </is>
      </c>
      <c r="F4" t="inlineStr">
        <is>
          <t>approved</t>
        </is>
      </c>
      <c r="G4" t="inlineStr">
        <is>
          <t>2026-10-09</t>
        </is>
      </c>
      <c r="H4" t="inlineStr">
        <is>
          <t>SIGNOFF-007｜法学生复核版会签清单 2026-10-09｜结论：同意｜意见：97刑法就有312条，09年刑法修正案（七）增加单位犯罪条款。</t>
        </is>
      </c>
    </row>
    <row r="5">
      <c r="A5" t="inlineStr">
        <is>
          <t>a0ca12a0-b951-408c-b4c1-a9df3600dda7</t>
        </is>
      </c>
      <c r="B5" t="inlineStr">
        <is>
          <t>legal_source</t>
        </is>
      </c>
      <c r="C5" t="inlineStr">
        <is>
          <t>cn-criminal-law-6-7-current@current-text-checked-2026-09-14</t>
        </is>
      </c>
      <c r="D5" t="inlineStr">
        <is>
          <t>王思雨</t>
        </is>
      </c>
      <c r="E5" t="inlineStr">
        <is>
          <t>法学复核人（法学生）</t>
        </is>
      </c>
      <c r="F5" t="inlineStr">
        <is>
          <t>approved</t>
        </is>
      </c>
      <c r="G5" t="inlineStr">
        <is>
          <t>2026-10-09</t>
        </is>
      </c>
      <c r="H5" t="inlineStr">
        <is>
          <t>SIGNOFF-007｜法学生复核版会签清单 2026-10-09｜结论：同意</t>
        </is>
      </c>
    </row>
    <row r="6">
      <c r="A6" t="inlineStr">
        <is>
          <t>27e0ea52-434e-4e44-a35b-42b7502cce14</t>
        </is>
      </c>
      <c r="B6" t="inlineStr">
        <is>
          <t>legal_source</t>
        </is>
      </c>
      <c r="C6" t="inlineStr">
        <is>
          <t>cn-cybercrime-interpretation-2019-11-12@2019-11-01</t>
        </is>
      </c>
      <c r="D6" t="inlineStr">
        <is>
          <t>王思雨</t>
        </is>
      </c>
      <c r="E6" t="inlineStr">
        <is>
          <t>法学复核人（法学生）</t>
        </is>
      </c>
      <c r="F6" t="inlineStr">
        <is>
          <t>approved</t>
        </is>
      </c>
      <c r="G6" t="inlineStr">
        <is>
          <t>2026-10-09</t>
        </is>
      </c>
      <c r="H6" t="inlineStr">
        <is>
          <t>SIGNOFF-007｜法学生复核版会签清单 2026-10-09｜结论：同意｜意见：别名可补充：提供资金五万元</t>
        </is>
      </c>
    </row>
    <row r="7">
      <c r="A7" t="inlineStr">
        <is>
          <t>02fead31-ed55-40cb-9543-91078f610c88</t>
        </is>
      </c>
      <c r="B7" t="inlineStr">
        <is>
          <t>legal_source</t>
        </is>
      </c>
      <c r="C7" t="inlineStr">
        <is>
          <t>cn-telefraud-opinion-2016-common-crime@2016-12-19</t>
        </is>
      </c>
      <c r="D7" t="inlineStr">
        <is>
          <t>王思雨</t>
        </is>
      </c>
      <c r="E7" t="inlineStr">
        <is>
          <t>法学复核人（法学生）</t>
        </is>
      </c>
      <c r="F7" t="inlineStr">
        <is>
          <t>approved</t>
        </is>
      </c>
      <c r="G7" t="inlineStr">
        <is>
          <t>2026-10-09</t>
        </is>
      </c>
      <c r="H7" t="inlineStr">
        <is>
          <t>SIGNOFF-007｜法学生复核版会签清单 2026-10-09｜结论：同意</t>
        </is>
      </c>
    </row>
    <row r="8">
      <c r="A8" t="inlineStr">
        <is>
          <t>bc2fc7b9-dda5-4d4a-b7ed-9d00f4cd0709</t>
        </is>
      </c>
      <c r="B8" t="inlineStr">
        <is>
          <t>legal_source</t>
        </is>
      </c>
      <c r="C8" t="inlineStr">
        <is>
          <t>cn-helping-opinion-2025-4-9@2025-07-22</t>
        </is>
      </c>
      <c r="D8" t="inlineStr">
        <is>
          <t>王思雨</t>
        </is>
      </c>
      <c r="E8" t="inlineStr">
        <is>
          <t>法学复核人（法学生）</t>
        </is>
      </c>
      <c r="F8" t="inlineStr">
        <is>
          <t>approved</t>
        </is>
      </c>
      <c r="G8" t="inlineStr">
        <is>
          <t>2026-10-09</t>
        </is>
      </c>
      <c r="H8" t="inlineStr">
        <is>
          <t>SIGNOFF-007｜法学生复核版会签清单 2026-10-09｜结论：同意｜意见：根据原文表述，建议把别名“跨境协同”改为“跨境帮助”或“跨境支持”；别名可补充：情节严重情形、帮信与诈骗共犯界分</t>
        </is>
      </c>
    </row>
    <row r="9">
      <c r="A9" t="inlineStr">
        <is>
          <t>380982e7-3f7c-4ef7-b235-e427412b3190</t>
        </is>
      </c>
      <c r="B9" t="inlineStr">
        <is>
          <t>legal_source</t>
        </is>
      </c>
      <c r="C9" t="inlineStr">
        <is>
          <t>cn-sentencing-guidance-2024-2@2024-07-01-one-year-trial</t>
        </is>
      </c>
      <c r="D9" t="inlineStr">
        <is>
          <t>王思雨</t>
        </is>
      </c>
      <c r="E9" t="inlineStr">
        <is>
          <t>法学复核人（法学生）</t>
        </is>
      </c>
      <c r="F9" t="inlineStr">
        <is>
          <t>approved</t>
        </is>
      </c>
      <c r="G9" t="inlineStr">
        <is>
          <t>2026-10-09</t>
        </is>
      </c>
      <c r="H9" t="inlineStr">
        <is>
          <t>SIGNOFF-007｜法学生复核版会签清单 2026-10-09｜结论：同意｜意见：试行一年，2024.7.1起，2025.6.30到期停止试行</t>
        </is>
      </c>
    </row>
    <row r="10">
      <c r="A10" t="inlineStr">
        <is>
          <t>e61c8ca9-1682-4191-a275-09bc3635ba05</t>
        </is>
      </c>
      <c r="B10" t="inlineStr">
        <is>
          <t>legal_source</t>
        </is>
      </c>
      <c r="C10" t="inlineStr">
        <is>
          <t>cn-concealment-interpretation-2015-2021@2021-amended</t>
        </is>
      </c>
      <c r="D10" t="inlineStr">
        <is>
          <t>王思雨</t>
        </is>
      </c>
      <c r="E10" t="inlineStr">
        <is>
          <t>法学复核人（法学生）</t>
        </is>
      </c>
      <c r="F10" t="inlineStr">
        <is>
          <t>approved</t>
        </is>
      </c>
      <c r="G10" t="inlineStr">
        <is>
          <t>2026-10-09</t>
        </is>
      </c>
      <c r="H10" t="inlineStr">
        <is>
          <t>SIGNOFF-007｜法学生复核版会签清单 2026-10-09｜结论：同意｜意见：法释〔2015〕11号自2015.6.1起实行，2021年经法释〔2021〕8号修正，有效期至2025.8.25。2025.8.26起被序号10法释〔2025〕13号替代</t>
        </is>
      </c>
    </row>
    <row r="11">
      <c r="A11" t="inlineStr">
        <is>
          <t>e57cd9ad-7e48-4174-8d52-34f8c83afbd6</t>
        </is>
      </c>
      <c r="B11" t="inlineStr">
        <is>
          <t>legal_source</t>
        </is>
      </c>
      <c r="C11" t="inlineStr">
        <is>
          <t>cn-concealment-interpretation-2025-1-12@2025-08-26</t>
        </is>
      </c>
      <c r="D11" t="inlineStr">
        <is>
          <t>王思雨</t>
        </is>
      </c>
      <c r="E11" t="inlineStr">
        <is>
          <t>法学复核人（法学生）</t>
        </is>
      </c>
      <c r="F11" t="inlineStr">
        <is>
          <t>approved</t>
        </is>
      </c>
      <c r="G11" t="inlineStr">
        <is>
          <t>2026-10-09</t>
        </is>
      </c>
      <c r="H11" t="inlineStr">
        <is>
          <t>SIGNOFF-007｜法学生复核版会签清单 2026-10-09｜结论：有条件同意｜修改意见（待后续版本）：①本解释取代序号9法释〔2021〕8号的旧解释，旧解释2025.8.26之后不再适用；②别名可补充：新掩隐解释、掩隐与诈骗共犯界分；③根据原文第五条，别名“五十万元”在认定情节严重时较为片面，建议删去</t>
        </is>
      </c>
    </row>
    <row r="12">
      <c r="A12" t="inlineStr">
        <is>
          <t>c6afc35a-144a-4114-9558-87890cbbc9d3</t>
        </is>
      </c>
      <c r="B12" t="inlineStr">
        <is>
          <t>rule</t>
        </is>
      </c>
      <c r="C12" t="inlineStr">
        <is>
          <t>rule-conviction-assist-287-2-elements@1.0.1</t>
        </is>
      </c>
      <c r="D12" t="inlineStr">
        <is>
          <t>王思雨</t>
        </is>
      </c>
      <c r="E12" t="inlineStr">
        <is>
          <t>法学复核人（法学生）</t>
        </is>
      </c>
      <c r="F12" t="inlineStr">
        <is>
          <t>approved</t>
        </is>
      </c>
      <c r="G12" t="inlineStr">
        <is>
          <t>2026-10-09</t>
        </is>
      </c>
      <c r="H12" t="inlineStr">
        <is>
          <t>SIGNOFF-006｜法学生复核版会签清单 2026-10-09｜结论：有条件同意｜修改意见（待后续版本）：①“明知”的含义是“知道或者应当知道”，建议去掉“应知”；②建议将帮助行为分为三类：技术支持、支付结算、广告推广。技术支持包括互联网接入、服务器托管、网络存储、通讯传输；③成立帮信罪要求“情节严重”，建议列为构成要件；④要件均满足后可以标记为“建议罪名”（备注：如果继续以帮信罪为重点的话，可以新增一个“建议罪名”，若帮信罪成立，列为“建议罪名”；若不成立，说明排除理由，并判断掩隐罪、诈骗罪等近邻犯罪是否为“候选罪名”。）｜内容同 rule-conviction-assist-287-2-elements@1.0.0，以正式会签替换占位会签</t>
        </is>
      </c>
    </row>
    <row r="13">
      <c r="A13" t="inlineStr">
        <is>
          <t>b70feb27-2a2d-4af8-bf48-e29adb3aef35</t>
        </is>
      </c>
      <c r="B13" t="inlineStr">
        <is>
          <t>rule</t>
        </is>
      </c>
      <c r="C13" t="inlineStr">
        <is>
          <t>rule-conviction-assist-severity-2019-threshold@1.0.2</t>
        </is>
      </c>
      <c r="D13" t="inlineStr">
        <is>
          <t>王思雨</t>
        </is>
      </c>
      <c r="E13" t="inlineStr">
        <is>
          <t>法学复核人（法学生）</t>
        </is>
      </c>
      <c r="F13" t="inlineStr">
        <is>
          <t>approved</t>
        </is>
      </c>
      <c r="G13" t="inlineStr">
        <is>
          <t>2026-10-09</t>
        </is>
      </c>
      <c r="H13" t="inlineStr">
        <is>
          <t>SIGNOFF-006｜法学生复核版会签清单 2026-10-09｜结论：有条件同意｜修改意见（待后续版本）：1、“情节严重”需满足以下任一情况：①帮助对象≥3 ②支付结算金额≥20万元 ③提供资金≥5万元 ④违法所得≥1万元 ⑤2年内因非法利用互联网受过行政处罚 ⑥出租出售本人账户≥3且账户流入资金资金≥30万元 ⑦收购出售出租非本人账户且账户流入资金≥30万元 ⑧收购出售出租电话卡物联网卡≥20张（⑥-⑧为司法解释规定的“其他严重情节”，若技术不具有可行性可以选择）；2、以上路径均择一满足；3、金额口径：②用payment_settlement_amount，⑥⑦用account_total_flow；4、旧版superseded。｜内容同 rule-conviction-assist-severity-2019-threshold@1.0.1，以正式会签替换占位会签</t>
        </is>
      </c>
    </row>
    <row r="14">
      <c r="A14" t="inlineStr">
        <is>
          <t>be4074ec-d974-4204-8720-82a9c6a9f862</t>
        </is>
      </c>
      <c r="B14" t="inlineStr">
        <is>
          <t>rule</t>
        </is>
      </c>
      <c r="C14" t="inlineStr">
        <is>
          <t>rule-distinction-concealment-after-upstream@1.0.1</t>
        </is>
      </c>
      <c r="D14" t="inlineStr">
        <is>
          <t>王思雨</t>
        </is>
      </c>
      <c r="E14" t="inlineStr">
        <is>
          <t>法学复核人（法学生）</t>
        </is>
      </c>
      <c r="F14" t="inlineStr">
        <is>
          <t>approved</t>
        </is>
      </c>
      <c r="G14" t="inlineStr">
        <is>
          <t>2026-10-09</t>
        </is>
      </c>
      <c r="H14" t="inlineStr">
        <is>
          <t>SIGNOFF-006｜法学生复核版会签清单 2026-10-09｜结论：同意｜意见：①确定上游犯罪既遂只排除帮信罪的成立，但是不能使掩隐罪成立，掩隐罪可列为“候选罪名”；②以掩隐罪定罪必须强调排除事前同谋，否则构成上游犯罪的共犯。因此需要在提示措辞中明确需进一步判断是否事前同谋｜内容同 rule-distinction-concealment-after-upstream@1.0.0，以正式会签替换占位会签</t>
        </is>
      </c>
    </row>
    <row r="15">
      <c r="A15" t="inlineStr">
        <is>
          <t>90cac42a-1a21-4cc7-a7de-a2a706394854</t>
        </is>
      </c>
      <c r="B15" t="inlineStr">
        <is>
          <t>rule</t>
        </is>
      </c>
      <c r="C15" t="inlineStr">
        <is>
          <t>rule-distinction-fraud-accomplice-prior-collusion@1.0.1</t>
        </is>
      </c>
      <c r="D15" t="inlineStr">
        <is>
          <t>王思雨</t>
        </is>
      </c>
      <c r="E15" t="inlineStr">
        <is>
          <t>法学复核人（法学生）</t>
        </is>
      </c>
      <c r="F15" t="inlineStr">
        <is>
          <t>approved</t>
        </is>
      </c>
      <c r="G15" t="inlineStr">
        <is>
          <t>2026-10-09</t>
        </is>
      </c>
      <c r="H15" t="inlineStr">
        <is>
          <t>SIGNOFF-006｜法学生复核版会签清单 2026-10-09｜结论：有条件同意｜修改意见（待后续版本）：1、提示边界可增加为“事前通谋/事中勾连+提供支持”，虽无事前通谋但在上游犯罪既遂前形成稳定配合关系的，也可能构成诈骗共犯；2、待人工确认的事项（排除/限定条件）：①属于具体明知，若仅概括明知倾向帮信罪 ②行为参与深度达到长期固定、实质参与程度，否则不能认定共犯｜内容同 rule-distinction-fraud-accomplice-prior-collusion@1.0.0，以正式会签替换占位会签</t>
        </is>
      </c>
    </row>
    <row r="16">
      <c r="A16" t="inlineStr">
        <is>
          <t>2aa0a78c-d43b-42cf-8dae-8decd69d2f8a</t>
        </is>
      </c>
      <c r="B16" t="inlineStr">
        <is>
          <t>rule</t>
        </is>
      </c>
      <c r="C16" t="inlineStr">
        <is>
          <t>rule-compliance-logs-retention-6m@1.0.1</t>
        </is>
      </c>
      <c r="D16" t="inlineStr">
        <is>
          <t>王思雨</t>
        </is>
      </c>
      <c r="E16" t="inlineStr">
        <is>
          <t>法学复核人（法学生）</t>
        </is>
      </c>
      <c r="F16" t="inlineStr">
        <is>
          <t>approved</t>
        </is>
      </c>
      <c r="G16" t="inlineStr">
        <is>
          <t>2026-10-09</t>
        </is>
      </c>
      <c r="H16" t="inlineStr">
        <is>
          <t>SIGNOFF-006｜法学生复核版会签清单 2026-10-09｜结论：同意｜内容同 rule-compliance-logs-retention-6m@1.0.0，以正式会签替换占位会签</t>
        </is>
      </c>
    </row>
    <row r="17">
      <c r="A17" t="inlineStr">
        <is>
          <t>46fb8e53-7736-4226-8cf4-d962911efa22</t>
        </is>
      </c>
      <c r="B17" t="inlineStr">
        <is>
          <t>rule</t>
        </is>
      </c>
      <c r="C17" t="inlineStr">
        <is>
          <t>rule-compliance-realname-verification@1.0.1</t>
        </is>
      </c>
      <c r="D17" t="inlineStr">
        <is>
          <t>王思雨</t>
        </is>
      </c>
      <c r="E17" t="inlineStr">
        <is>
          <t>法学复核人（法学生）</t>
        </is>
      </c>
      <c r="F17" t="inlineStr">
        <is>
          <t>approved</t>
        </is>
      </c>
      <c r="G17" t="inlineStr">
        <is>
          <t>2026-10-09</t>
        </is>
      </c>
      <c r="H17" t="inlineStr">
        <is>
          <t>SIGNOFF-006｜法学生复核版会签清单 2026-10-09｜结论：同意｜意见：但若仅存在核验制度却未实际执行，也应标记为不满足。｜内容同 rule-compliance-realname-verification@1.0.0，以正式会签替换占位会签</t>
        </is>
      </c>
    </row>
    <row r="18">
      <c r="A18" t="inlineStr">
        <is>
          <t>4a14a90f-6036-4dc3-ab59-039cb21b180a</t>
        </is>
      </c>
      <c r="B18" t="inlineStr">
        <is>
          <t>rule</t>
        </is>
      </c>
      <c r="C18" t="inlineStr">
        <is>
          <t>rule-sentencing-assist-base@1.0.2</t>
        </is>
      </c>
      <c r="D18" t="inlineStr">
        <is>
          <t>王思雨</t>
        </is>
      </c>
      <c r="E18" t="inlineStr">
        <is>
          <t>法学复核人（法学生）</t>
        </is>
      </c>
      <c r="F18" t="inlineStr">
        <is>
          <t>approved</t>
        </is>
      </c>
      <c r="G18" t="inlineStr">
        <is>
          <t>2026-10-09</t>
        </is>
      </c>
      <c r="H18" t="inlineStr">
        <is>
          <t>SIGNOFF-006/010｜法学生复核版会签清单 2026-10-09｜结论：同意｜意见：案例A系统结果 9.0个月没有明显异常，之前的12–18个月建议偏重，应当修正建议｜内容同 rule-sentencing-assist-base@1.0.1，以正式会签替换占位会签</t>
        </is>
      </c>
    </row>
    <row r="19">
      <c r="A19" t="inlineStr">
        <is>
          <t>137fe49a-470d-4735-ace9-da6c370c413d</t>
        </is>
      </c>
      <c r="B19" t="inlineStr">
        <is>
          <t>template</t>
        </is>
      </c>
      <c r="C19" t="inlineStr">
        <is>
          <t>indictment-draft@1.0.2</t>
        </is>
      </c>
      <c r="D19" t="inlineStr">
        <is>
          <t>王思雨</t>
        </is>
      </c>
      <c r="E19" t="inlineStr">
        <is>
          <t>法学复核人（法学生）</t>
        </is>
      </c>
      <c r="F19" t="inlineStr">
        <is>
          <t>approved</t>
        </is>
      </c>
      <c r="G19" t="inlineStr">
        <is>
          <t>2026-10-09</t>
        </is>
      </c>
      <c r="H19" t="inlineStr">
        <is>
          <t>SIGNOFF-008/005｜法学生复核版会签清单 2026-10-09｜结论：有条件同意｜修改意见（待后续版本）：需确认起诉书法定要素完整，包括诉讼权利告知、退回补充侦查或延长审查起诉期限、证据分类、附件事项、检察官署名。｜案型→模板映射：需确认何种案件适用起诉书、何种案件适用不起诉决定书或量刑建议书。｜内容同 indictment-draft@1.0.1，以正式会签替换占位会签</t>
        </is>
      </c>
    </row>
    <row r="20">
      <c r="A20" t="inlineStr">
        <is>
          <t>a019122d-8c4a-46ee-9f98-711902f0cfe0</t>
        </is>
      </c>
      <c r="B20" t="inlineStr">
        <is>
          <t>template</t>
        </is>
      </c>
      <c r="C20" t="inlineStr">
        <is>
          <t>indictment-assist@1.0.1</t>
        </is>
      </c>
      <c r="D20" t="inlineStr">
        <is>
          <t>王思雨</t>
        </is>
      </c>
      <c r="E20" t="inlineStr">
        <is>
          <t>法学复核人（法学生）</t>
        </is>
      </c>
      <c r="F20" t="inlineStr">
        <is>
          <t>approved</t>
        </is>
      </c>
      <c r="G20" t="inlineStr">
        <is>
          <t>2026-10-09</t>
        </is>
      </c>
      <c r="H20" t="inlineStr">
        <is>
          <t>SIGNOFF-008/005｜法学生复核版会签清单 2026-10-09｜结论：有条件同意｜修改意见（待后续版本）：需确认被告人身份要素完整，不能仅以姓名作为唯一必填内容。｜案型→模板映射：需确认何种案件适用起诉书、何种案件适用不起诉决定书或量刑建议书。｜内容同 indictment-assist@1.0.0，以正式会签替换占位会签</t>
        </is>
      </c>
    </row>
    <row r="21">
      <c r="A21" t="inlineStr">
        <is>
          <t>原表说明：填写完成后由工程侧逐条执行 registry.signoff()——已由 scripts/apply_legal_signoff_2026_10_09.py 执行，以上 19 条为系统生成的正式会签记录。</t>
        </is>
      </c>
    </row>
  </sheetData>
  <mergeCells count="1">
    <mergeCell ref="A19:H19"/>
  </mergeCells>
  <dataValidations>
    <dataValidation type="list" operator="between" sqref="F2:F17">
      <formula1>"approved,rejected"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2026-10-09T09:34:33Z</dcterms:created>
  <dcterms:modified xsi:type="dcterms:W3CDTF">2026-10-09T09:34:33Z</dcterms:modified>
</cp:coreProperties>
</file>