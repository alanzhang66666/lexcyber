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0dd8026d1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始" sheetId="1" r:id="R1966c3a151f54f58"/>
    <x:sheet xmlns:r="http://schemas.openxmlformats.org/officeDocument/2006/relationships" name="任务登记" sheetId="2" r:id="R5aa7b775055548b0"/>
    <x:sheet xmlns:r="http://schemas.openxmlformats.org/officeDocument/2006/relationships" name="案件" sheetId="3" r:id="R683a1b07e94445ec"/>
    <x:sheet xmlns:r="http://schemas.openxmlformats.org/officeDocument/2006/relationships" name="材料" sheetId="4" r:id="R7c58bbe9bbb744c7"/>
    <x:sheet xmlns:r="http://schemas.openxmlformats.org/officeDocument/2006/relationships" name="证据片段" sheetId="5" r:id="Rab374e55ab884b7b"/>
    <x:sheet xmlns:r="http://schemas.openxmlformats.org/officeDocument/2006/relationships" name="实体" sheetId="6" r:id="R4f195d47874843cc"/>
    <x:sheet xmlns:r="http://schemas.openxmlformats.org/officeDocument/2006/relationships" name="事件" sheetId="7" r:id="Ra0fef049ea204936"/>
    <x:sheet xmlns:r="http://schemas.openxmlformats.org/officeDocument/2006/relationships" name="关系" sheetId="8" r:id="R0ad51dd77af341ed"/>
    <x:sheet xmlns:r="http://schemas.openxmlformats.org/officeDocument/2006/relationships" name="金额" sheetId="9" r:id="R799c45bf0a2141ec"/>
    <x:sheet xmlns:r="http://schemas.openxmlformats.org/officeDocument/2006/relationships" name="要件审查" sheetId="10" r:id="R0ef206ec1cfd4b9d"/>
    <x:sheet xmlns:r="http://schemas.openxmlformats.org/officeDocument/2006/relationships" name="论证" sheetId="11" r:id="R19903c4e4df341b6"/>
    <x:sheet xmlns:r="http://schemas.openxmlformats.org/officeDocument/2006/relationships" name="更新处置" sheetId="12" r:id="Rd221044ac1804e9c"/>
    <x:sheet xmlns:r="http://schemas.openxmlformats.org/officeDocument/2006/relationships" name="扩展审查" sheetId="13" r:id="R43578f73a2474c64"/>
    <x:sheet xmlns:r="http://schemas.openxmlformats.org/officeDocument/2006/relationships" name="裁决" sheetId="14" r:id="Rabbbc3f4f6024a59"/>
    <x:sheet xmlns:r="http://schemas.openxmlformats.org/officeDocument/2006/relationships" name="训练示例" sheetId="15" r:id="R1810dc0696684621"/>
    <x:sheet xmlns:r="http://schemas.openxmlformats.org/officeDocument/2006/relationships" name="要件与标签" sheetId="16" r:id="R6b4622928cd04a9a"/>
    <x:sheet xmlns:r="http://schemas.openxmlformats.org/officeDocument/2006/relationships" name="字段字典" sheetId="17" r:id="R4cedd35182e141ac"/>
    <x:sheet xmlns:r="http://schemas.openxmlformats.org/officeDocument/2006/relationships" name="规范库" sheetId="18" r:id="Rf6fbf4434a51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#,##0.00"/>
  </x:numFmts>
  <x:fonts count="4">
    <x:font>
      <x:sz val="11"/>
      <x:name val="Carlito"/>
    </x:font>
    <x:font>
      <x:sz val="11"/>
      <x:color rgb="FF202B33"/>
      <x:name val="Arial"/>
    </x:font>
    <x:font>
      <x:b/>
      <x:sz val="11"/>
      <x:color rgb="FFFFFFFF"/>
      <x:name val="Arial"/>
    </x:font>
    <x:font>
      <x:b/>
      <x:sz val="16"/>
      <x:color rgb="FF202B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F56"/>
      </x:patternFill>
    </x:fill>
    <x:fill>
      <x:patternFill patternType="solid">
        <x:fgColor rgb="FFFFFBEE"/>
      </x:patternFill>
    </x:fill>
    <x:fill>
      <x:patternFill patternType="solid">
        <x:fgColor rgb="FFEDF1F4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  <x:dxf>
      <x:font>
        <x:color rgb="FF9A252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c843fbbfe4f17" /><Relationship Type="http://schemas.openxmlformats.org/officeDocument/2006/relationships/theme" Target="/xl/theme/theme1.xml" Id="Rceb3033ce8724cea" /><Relationship Type="http://schemas.openxmlformats.org/officeDocument/2006/relationships/sharedStrings" Target="/xl/sharedStrings.xml" Id="Re18717ded2e040a9" /><Relationship Type="http://schemas.openxmlformats.org/officeDocument/2006/relationships/worksheet" Target="/xl/worksheets/sheet1.xml" Id="R1966c3a151f54f58" /><Relationship Type="http://schemas.openxmlformats.org/officeDocument/2006/relationships/worksheet" Target="/xl/worksheets/sheet2.xml" Id="R5aa7b775055548b0" /><Relationship Type="http://schemas.openxmlformats.org/officeDocument/2006/relationships/worksheet" Target="/xl/worksheets/sheet3.xml" Id="R683a1b07e94445ec" /><Relationship Type="http://schemas.openxmlformats.org/officeDocument/2006/relationships/worksheet" Target="/xl/worksheets/sheet4.xml" Id="R7c58bbe9bbb744c7" /><Relationship Type="http://schemas.openxmlformats.org/officeDocument/2006/relationships/worksheet" Target="/xl/worksheets/sheet5.xml" Id="Rab374e55ab884b7b" /><Relationship Type="http://schemas.openxmlformats.org/officeDocument/2006/relationships/worksheet" Target="/xl/worksheets/sheet6.xml" Id="R4f195d47874843cc" /><Relationship Type="http://schemas.openxmlformats.org/officeDocument/2006/relationships/worksheet" Target="/xl/worksheets/sheet7.xml" Id="Ra0fef049ea204936" /><Relationship Type="http://schemas.openxmlformats.org/officeDocument/2006/relationships/worksheet" Target="/xl/worksheets/sheet8.xml" Id="R0ad51dd77af341ed" /><Relationship Type="http://schemas.openxmlformats.org/officeDocument/2006/relationships/worksheet" Target="/xl/worksheets/sheet9.xml" Id="R799c45bf0a2141ec" /><Relationship Type="http://schemas.openxmlformats.org/officeDocument/2006/relationships/worksheet" Target="/xl/worksheets/sheet10.xml" Id="R0ef206ec1cfd4b9d" /><Relationship Type="http://schemas.openxmlformats.org/officeDocument/2006/relationships/worksheet" Target="/xl/worksheets/sheet11.xml" Id="R19903c4e4df341b6" /><Relationship Type="http://schemas.openxmlformats.org/officeDocument/2006/relationships/worksheet" Target="/xl/worksheets/sheet12.xml" Id="Rd221044ac1804e9c" /><Relationship Type="http://schemas.openxmlformats.org/officeDocument/2006/relationships/worksheet" Target="/xl/worksheets/sheet13.xml" Id="R43578f73a2474c64" /><Relationship Type="http://schemas.openxmlformats.org/officeDocument/2006/relationships/worksheet" Target="/xl/worksheets/sheet14.xml" Id="Rabbbc3f4f6024a59" /><Relationship Type="http://schemas.openxmlformats.org/officeDocument/2006/relationships/worksheet" Target="/xl/worksheets/sheet15.xml" Id="R1810dc0696684621" /><Relationship Type="http://schemas.openxmlformats.org/officeDocument/2006/relationships/worksheet" Target="/xl/worksheets/sheet16.xml" Id="R6b4622928cd04a9a" /><Relationship Type="http://schemas.openxmlformats.org/officeDocument/2006/relationships/worksheet" Target="/xl/worksheets/sheet17.xml" Id="R4cedd35182e141ac" /><Relationship Type="http://schemas.openxmlformats.org/officeDocument/2006/relationships/worksheet" Target="/xl/worksheets/sheet18.xml" Id="Rf6fbf4434a514cbf" /></Relationships>
</file>

<file path=xl/tables/table1.xml><?xml version="1.0" encoding="utf-8"?>
<x:table xmlns:x="http://schemas.openxmlformats.org/spreadsheetml/2006/main" id="1" name="T_18_ID_0" displayName="T_18_ID_0" ref="A1:O201" headerRowCount="1" totalsRowCount="0" totalsRowShown="0">
  <x:autoFilter ref="A1:O201"/>
  <x:tableColumns count="15">
    <x:tableColumn id="1" name="任务ID"/>
    <x:tableColumn id="2" name="案件ID"/>
    <x:tableColumn id="3" name="用途"/>
    <x:tableColumn id="4" name="评价方式"/>
    <x:tableColumn id="5" name="标注者代号"/>
    <x:tableColumn id="6" name="标注角色"/>
    <x:tableColumn id="7" name="可见阶段"/>
    <x:tableColumn id="8" name="可见材料清单"/>
    <x:tableColumn id="9" name="规范包版本"/>
    <x:tableColumn id="10" name="指南版本"/>
    <x:tableColumn id="11" name="初始锁定时间"/>
    <x:tableColumn id="12" name="完成状态"/>
    <x:tableColumn id="13" name="用时分钟"/>
    <x:tableColumn id="14" name="备注"/>
    <x:tableColumn id="15" name="记录检查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_18_ID_1" displayName="T_18_ID_1" ref="A1:N201" headerRowCount="1" totalsRowCount="0" totalsRowShown="0">
  <x:autoFilter ref="A1:N201"/>
  <x:tableColumns count="14">
    <x:tableColumn id="1" name="案件ID"/>
    <x:tableColumn id="2" name="案件族ID"/>
    <x:tableColumn id="3" name="研究簇"/>
    <x:tableColumn id="4" name="材料构造类型"/>
    <x:tableColumn id="5" name="研究权限"/>
    <x:tableColumn id="6" name="脱敏状态"/>
    <x:tableColumn id="7" name="数据拆分"/>
    <x:tableColumn id="8" name="程序阶段"/>
    <x:tableColumn id="9" name="行为期间原文"/>
    <x:tableColumn id="10" name="采样来源定位"/>
    <x:tableColumn id="11" name="关联案件ID"/>
    <x:tableColumn id="12" name="实际裁判结果"/>
    <x:tableColumn id="13" name="入选排除理由"/>
    <x:tableColumn id="14" name="记录检查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_18_ID_2" displayName="T_18_ID_2" ref="A1:Q201" headerRowCount="1" totalsRowCount="0" totalsRowShown="0">
  <x:autoFilter ref="A1:Q201"/>
  <x:tableColumns count="17">
    <x:tableColumn id="1" name="材料ID"/>
    <x:tableColumn id="2" name="案件ID"/>
    <x:tableColumn id="3" name="材料类型"/>
    <x:tableColumn id="4" name="脱敏文件名"/>
    <x:tableColumn id="5" name="文件SHA256"/>
    <x:tableColumn id="6" name="原始出处ID"/>
    <x:tableColumn id="7" name="材料版本"/>
    <x:tableColumn id="8" name="首次可见阶段"/>
    <x:tableColumn id="9" name="成文时间原文"/>
    <x:tableColumn id="10" name="收集时间原文"/>
    <x:tableColumn id="11" name="来源状态"/>
    <x:tableColumn id="12" name="替代材料ID"/>
    <x:tableColumn id="13" name="替代范围"/>
    <x:tableColumn id="14" name="解析方式版本"/>
    <x:tableColumn id="15" name="核验状态"/>
    <x:tableColumn id="16" name="访问范围"/>
    <x:tableColumn id="17" name="记录检查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_18_ID_3" displayName="T_18_ID_3" ref="A1:M201" headerRowCount="1" totalsRowCount="0" totalsRowShown="0">
  <x:autoFilter ref="A1:M201"/>
  <x:tableColumns count="13">
    <x:tableColumn id="1" name="片段ID"/>
    <x:tableColumn id="2" name="任务ID"/>
    <x:tableColumn id="3" name="材料ID"/>
    <x:tableColumn id="4" name="定位"/>
    <x:tableColumn id="5" name="脱敏原文"/>
    <x:tableColumn id="6" name="陈述人ID"/>
    <x:tableColumn id="7" name="陈述时间原文"/>
    <x:tableColumn id="8" name="记载层次"/>
    <x:tableColumn id="9" name="事实概括"/>
    <x:tableColumn id="10" name="转录核验"/>
    <x:tableColumn id="11" name="真实性争点"/>
    <x:tableColumn id="12" name="缺失上下文"/>
    <x:tableColumn id="13" name="记录检查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_18_ID_4" displayName="T_18_ID_4" ref="A1:I201" headerRowCount="1" totalsRowCount="0" totalsRowShown="0">
  <x:autoFilter ref="A1:I201"/>
  <x:tableColumns count="9">
    <x:tableColumn id="1" name="实体ID"/>
    <x:tableColumn id="2" name="案件ID"/>
    <x:tableColumn id="3" name="实体类型"/>
    <x:tableColumn id="4" name="脱敏代称"/>
    <x:tableColumn id="5" name="来源片段ID"/>
    <x:tableColumn id="6" name="身份属性原文"/>
    <x:tableColumn id="7" name="存疑身份关联"/>
    <x:tableColumn id="8" name="敏感级别"/>
    <x:tableColumn id="9" name="记录检查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T_18_ID_5" displayName="T_18_ID_5" ref="A1:N201" headerRowCount="1" totalsRowCount="0" totalsRowShown="0">
  <x:autoFilter ref="A1:N201"/>
  <x:tableColumns count="14">
    <x:tableColumn id="1" name="事件ID"/>
    <x:tableColumn id="2" name="任务ID"/>
    <x:tableColumn id="3" name="事件类型"/>
    <x:tableColumn id="4" name="主要行为人ID"/>
    <x:tableColumn id="5" name="行为描述"/>
    <x:tableColumn id="6" name="对象ID"/>
    <x:tableColumn id="7" name="开始时间原文"/>
    <x:tableColumn id="8" name="结束时间原文"/>
    <x:tableColumn id="9" name="时间精度时区"/>
    <x:tableColumn id="10" name="地点ID"/>
    <x:tableColumn id="11" name="来源片段ID"/>
    <x:tableColumn id="12" name="事实支持状态"/>
    <x:tableColumn id="13" name="缺失冲突说明"/>
    <x:tableColumn id="14" name="记录检查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T_18_ID_6" displayName="T_18_ID_6" ref="A1:M201" headerRowCount="1" totalsRowCount="0" totalsRowShown="0">
  <x:autoFilter ref="A1:M201"/>
  <x:tableColumns count="13">
    <x:tableColumn id="1" name="关系ID"/>
    <x:tableColumn id="2" name="任务ID"/>
    <x:tableColumn id="3" name="起点类型"/>
    <x:tableColumn id="4" name="起点ID"/>
    <x:tableColumn id="5" name="关系作用"/>
    <x:tableColumn id="6" name="终点类型"/>
    <x:tableColumn id="7" name="终点ID"/>
    <x:tableColumn id="8" name="靶点或CQ"/>
    <x:tableColumn id="9" name="来源片段ID"/>
    <x:tableColumn id="10" name="有效时间或阶段"/>
    <x:tableColumn id="11" name="作用说明"/>
    <x:tableColumn id="12" name="关系状态"/>
    <x:tableColumn id="13" name="记录检查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T_18_ID_7" displayName="T_18_ID_7" ref="A1:Q201" headerRowCount="1" totalsRowCount="0" totalsRowShown="0">
  <x:autoFilter ref="A1:Q201"/>
  <x:tableColumns count="17">
    <x:tableColumn id="1" name="金额ID"/>
    <x:tableColumn id="2" name="任务ID"/>
    <x:tableColumn id="3" name="行为人ID"/>
    <x:tableColumn id="4" name="关联事件ID"/>
    <x:tableColumn id="5" name="金额类型"/>
    <x:tableColumn id="6" name="金额原值"/>
    <x:tableColumn id="7" name="币种"/>
    <x:tableColumn id="8" name="原单位"/>
    <x:tableColumn id="9" name="金额状态"/>
    <x:tableColumn id="10" name="统计方向"/>
    <x:tableColumn id="11" name="个人归集期间"/>
    <x:tableColumn id="12" name="去重批次ID"/>
    <x:tableColumn id="13" name="计入规则与排除项"/>
    <x:tableColumn id="14" name="来源片段ID"/>
    <x:tableColumn id="15" name="规范ID"/>
    <x:tableColumn id="16" name="缺失说明"/>
    <x:tableColumn id="17" name="记录检查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T_18_ID_8" displayName="T_18_ID_8" ref="A1:Q201" headerRowCount="1" totalsRowCount="0" totalsRowShown="0">
  <x:autoFilter ref="A1:Q201"/>
  <x:tableColumns count="17">
    <x:tableColumn id="1" name="要件记录ID"/>
    <x:tableColumn id="2" name="任务ID"/>
    <x:tableColumn id="3" name="目标ID"/>
    <x:tableColumn id="4" name="行为人ID"/>
    <x:tableColumn id="5" name="事件ID"/>
    <x:tableColumn id="6" name="候选路径"/>
    <x:tableColumn id="7" name="要件代码"/>
    <x:tableColumn id="8" name="认识对象"/>
    <x:tableColumn id="9" name="认识形成期间"/>
    <x:tableColumn id="10" name="支持状态S"/>
    <x:tableColumn id="11" name="支持片段ID"/>
    <x:tableColumn id="12" name="相反片段ID"/>
    <x:tableColumn id="13" name="缺失与冲突"/>
    <x:tableColumn id="14" name="规范ID及条项"/>
    <x:tableColumn id="15" name="论证说明"/>
    <x:tableColumn id="16" name="证明责任审查"/>
    <x:tableColumn id="17" name="记录检查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T_18_ID_9" displayName="T_18_ID_9" ref="A1:N201" headerRowCount="1" totalsRowCount="0" totalsRowShown="0">
  <x:autoFilter ref="A1:N201"/>
  <x:tableColumns count="14">
    <x:tableColumn id="1" name="论证记录ID"/>
    <x:tableColumn id="2" name="任务ID"/>
    <x:tableColumn id="3" name="论证ID"/>
    <x:tableColumn id="4" name="目标ID"/>
    <x:tableColumn id="5" name="论证版本"/>
    <x:tableColumn id="6" name="结论文本"/>
    <x:tableColumn id="7" name="核心推断根据"/>
    <x:tableColumn id="8" name="必要前提"/>
    <x:tableColumn id="9" name="可调整前提"/>
    <x:tableColumn id="10" name="依赖片段ID"/>
    <x:tableColumn id="11" name="相反解释与限制"/>
    <x:tableColumn id="12" name="来源论证ID"/>
    <x:tableColumn id="13" name="身份判断依据"/>
    <x:tableColumn id="14" name="记录检查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T_18_ID_10" displayName="T_18_ID_10" ref="A1:R201" headerRowCount="1" totalsRowCount="0" totalsRowShown="0">
  <x:autoFilter ref="A1:R201"/>
  <x:tableColumns count="18">
    <x:tableColumn id="1" name="处置ID"/>
    <x:tableColumn id="2" name="任务ID"/>
    <x:tableColumn id="3" name="更新ID"/>
    <x:tableColumn id="4" name="更新材料ID"/>
    <x:tableColumn id="5" name="更新类型"/>
    <x:tableColumn id="6" name="旧论证ID"/>
    <x:tableColumn id="7" name="处置R"/>
    <x:tableColumn id="8" name="影响范围"/>
    <x:tableColumn id="9" name="对应CQ"/>
    <x:tableColumn id="10" name="挑战效果"/>
    <x:tableColumn id="11" name="谱系类型"/>
    <x:tableColumn id="12" name="更新后论证记录ID"/>
    <x:tableColumn id="13" name="依据片段ID"/>
    <x:tableColumn id="14" name="处置理由"/>
    <x:tableColumn id="15" name="仍需保留的信息"/>
    <x:tableColumn id="16" name="旧依据使用范围"/>
    <x:tableColumn id="17" name="实质冲突"/>
    <x:tableColumn id="18" name="记录检查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T_18_ID_11" displayName="T_18_ID_11" ref="A1:P201" headerRowCount="1" totalsRowCount="0" totalsRowShown="0">
  <x:autoFilter ref="A1:P201"/>
  <x:tableColumns count="16">
    <x:tableColumn id="1" name="审查ID"/>
    <x:tableColumn id="2" name="任务ID"/>
    <x:tableColumn id="3" name="模块类别"/>
    <x:tableColumn id="4" name="对象ID"/>
    <x:tableColumn id="5" name="对象类型"/>
    <x:tableColumn id="6" name="审查问题"/>
    <x:tableColumn id="7" name="事实或原文命题"/>
    <x:tableColumn id="8" name="支持片段ID"/>
    <x:tableColumn id="9" name="相反片段ID"/>
    <x:tableColumn id="10" name="审查状态"/>
    <x:tableColumn id="11" name="规范ID及条项"/>
    <x:tableColumn id="12" name="规范适用理由"/>
    <x:tableColumn id="13" name="缺失项与影响"/>
    <x:tableColumn id="14" name="需复核的下游ID"/>
    <x:tableColumn id="15" name="人工意见"/>
    <x:tableColumn id="16" name="记录检查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3" name="T_18_ID_12" displayName="T_18_ID_12" ref="A1:Q201" headerRowCount="1" totalsRowCount="0" totalsRowShown="0">
  <x:autoFilter ref="A1:Q201"/>
  <x:tableColumns count="17">
    <x:tableColumn id="1" name="裁决ID"/>
    <x:tableColumn id="2" name="案件ID"/>
    <x:tableColumn id="3" name="对齐对象ID"/>
    <x:tableColumn id="4" name="A任务ID"/>
    <x:tableColumn id="5" name="B任务ID"/>
    <x:tableColumn id="6" name="A原记录ID"/>
    <x:tableColumn id="7" name="B原记录ID"/>
    <x:tableColumn id="8" name="分歧类型"/>
    <x:tableColumn id="9" name="裁决结果"/>
    <x:tableColumn id="10" name="完整参考包ID"/>
    <x:tableColumn id="11" name="包内记录ID清单"/>
    <x:tableColumn id="12" name="裁决理由"/>
    <x:tableColumn id="13" name="裁决者代号"/>
    <x:tableColumn id="14" name="裁决时间"/>
    <x:tableColumn id="15" name="参考版本"/>
    <x:tableColumn id="16" name="未决问题"/>
    <x:tableColumn id="17" name="记录检查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14" name="T_18_ID_13" displayName="T_18_ID_13" ref="A1:E11" headerRowCount="1" totalsRowCount="0" totalsRowShown="0">
  <x:autoFilter ref="A1:E11"/>
  <x:tableColumns count="5">
    <x:tableColumn id="1" name="示例ID"/>
    <x:tableColumn id="2" name="训练问题"/>
    <x:tableColumn id="3" name="虚构材料"/>
    <x:tableColumn id="4" name="建议标注方法"/>
    <x:tableColumn id="5" name="常见错误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16" name="T_18__15" displayName="T_18__15" ref="A1:E189" headerRowCount="1" totalsRowCount="0" totalsRowShown="0">
  <x:autoFilter ref="A1:E189"/>
  <x:tableColumns count="5">
    <x:tableColumn id="1" name="类型"/>
    <x:tableColumn id="2" name="代码组"/>
    <x:tableColumn id="3" name="适用罪名"/>
    <x:tableColumn id="4" name="标签或要件"/>
    <x:tableColumn id="5" name="操作含义"/>
  </x:tableColumns>
  <x:tableStyleInfo name="TableStyleMedium2" showFirstColumn="0" showLastColumn="0" showRowStripes="0" showColumnStripes="0"/>
</x:table>
</file>

<file path=xl/tables/table16.xml><?xml version="1.0" encoding="utf-8"?>
<x:table xmlns:x="http://schemas.openxmlformats.org/spreadsheetml/2006/main" id="15" name="T_18__14" displayName="T_18__14" ref="A1:F182" headerRowCount="1" totalsRowCount="0" totalsRowShown="0">
  <x:autoFilter ref="A1:F182"/>
  <x:tableColumns count="6">
    <x:tableColumn id="1" name="工作表"/>
    <x:tableColumn id="2" name="字段"/>
    <x:tableColumn id="3" name="导出键"/>
    <x:tableColumn id="4" name="填写要求"/>
    <x:tableColumn id="5" name="取值或类型"/>
    <x:tableColumn id="6" name="填写说明"/>
  </x:tableColumns>
  <x:tableStyleInfo name="TableStyleMedium2" showFirstColumn="0" showLastColumn="0" showRowStripes="0" showColumnStripes="0"/>
</x:table>
</file>

<file path=xl/tables/table17.xml><?xml version="1.0" encoding="utf-8"?>
<x:table xmlns:x="http://schemas.openxmlformats.org/spreadsheetml/2006/main" id="17" name="T_18_ID_16" displayName="T_18_ID_16" ref="A1:I11" headerRowCount="1" totalsRowCount="0" totalsRowShown="0">
  <x:autoFilter ref="A1:I11"/>
  <x:tableColumns count="9">
    <x:tableColumn id="1" name="规范ID"/>
    <x:tableColumn id="2" name="文件名称"/>
    <x:tableColumn id="3" name="发布机关"/>
    <x:tableColumn id="4" name="发布或通过日期"/>
    <x:tableColumn id="5" name="施行与适用提示"/>
    <x:tableColumn id="6" name="相关条项"/>
    <x:tableColumn id="7" name="标注用途"/>
    <x:tableColumn id="8" name="适用限制"/>
    <x:tableColumn id="9" name="官方核验UR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520cfddf7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f9fdc1ae2a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c3888eb582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a067f22f764e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22126c82f146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698523374c41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c9eedfa40042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e9ef8222f949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528dd6d899d4a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b9dbad3951941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222ef769394a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d8b011fd96745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35c5821c6ae4ec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ac0eeb1e81e422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d355da28197449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7789acfbf7d4a8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cade2d1ea3140ba" /></Relationships>
</file>

<file path=xl/worksheets/sheet1.xml><?xml version="1.0" encoding="utf-8"?>
<x:worksheet xmlns:x="http://schemas.openxmlformats.org/spreadsheetml/2006/main">
  <x:sheetPr>
    <x:tabColor rgb="FF263F56"/>
  </x:sheetPr>
  <x:sheetViews>
    <x:sheetView showGridLines="0" workbookViewId="0"/>
  </x:sheetViews>
  <x:sheetFormatPr defaultRowHeight="15"/>
  <x:cols>
    <x:col min="1" max="1" width="25" hidden="0" customWidth="1"/>
    <x:col min="2" max="2" width="93" hidden="0" customWidth="1"/>
    <x:col min="3" max="3" width="6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12"/>
      <x:c r="B1" s="12"/>
      <x:c r="C1" s="12"/>
      <x:c r="D1" s="12"/>
      <x:c r="E1" s="12"/>
      <x:c r="F1" s="12"/>
    </x:row>
    <x:row r="2" ht="30" customHeight="1">
      <x:c r="A2" s="13" t="str">
        <x:v>法律专家标注工作簿</x:v>
      </x:c>
      <x:c r="B2" s="12"/>
      <x:c r="C2" s="12"/>
      <x:c r="D2" s="12"/>
      <x:c r="E2" s="12"/>
      <x:c r="F2" s="12"/>
    </x:row>
    <x:row r="3" ht="30" customHeight="1">
      <x:c r="A3" s="12"/>
      <x:c r="B3" s="12"/>
      <x:c r="C3" s="12"/>
      <x:c r="D3" s="12"/>
      <x:c r="E3" s="12"/>
      <x:c r="F3" s="12"/>
    </x:row>
    <x:row r="4" ht="30" customHeight="1">
      <x:c r="A4" s="12" t="str">
        <x:v>正式任务数</x:v>
      </x:c>
      <x:c r="B4" s="12" t="str">
        <x:v>已提交正式任务数</x:v>
      </x:c>
      <x:c r="C4" s="12" t="str">
        <x:v>试标任务数</x:v>
      </x:c>
      <x:c r="D4" s="12"/>
      <x:c r="E4" s="12"/>
      <x:c r="F4" s="12"/>
    </x:row>
    <x:row r="5" ht="30" customHeight="1">
      <x:c r="A5" s="13" t="n">
        <x:f>COUNTIF('任务登记'!$C$2:$C$201,"正式")</x:f>
        <x:v>0</x:v>
      </x:c>
      <x:c r="B5" s="13" t="n">
        <x:f>COUNTIFS('任务登记'!$C$2:$C$201,"正式",'任务登记'!$L$2:$L$201,"已提交")</x:f>
        <x:v>0</x:v>
      </x:c>
      <x:c r="C5" s="13" t="n">
        <x:f>COUNTIF('任务登记'!$C$2:$C$201,"试标")</x:f>
        <x:v>0</x:v>
      </x:c>
      <x:c r="D5" s="12"/>
      <x:c r="E5" s="12"/>
      <x:c r="F5" s="12"/>
    </x:row>
    <x:row r="6" ht="30" customHeight="1">
      <x:c r="A6" s="12"/>
      <x:c r="B6" s="12"/>
      <x:c r="C6" s="12"/>
      <x:c r="D6" s="12"/>
      <x:c r="E6" s="12"/>
      <x:c r="F6" s="12"/>
    </x:row>
    <x:row r="7" ht="30" customHeight="1">
      <x:c r="A7" s="5" t="str">
        <x:v>顺序</x:v>
      </x:c>
      <x:c r="B7" s="5" t="str">
        <x:v>当前动作</x:v>
      </x:c>
      <x:c r="C7" s="5" t="str">
        <x:v>填写位置</x:v>
      </x:c>
      <x:c r="D7" s="12"/>
      <x:c r="E7" s="12"/>
      <x:c r="F7" s="12"/>
    </x:row>
    <x:row r="8" ht="44" customHeight="1">
      <x:c r="A8" s="3" t="n">
        <x:v>1</x:v>
      </x:c>
      <x:c r="B8" s="3" t="str">
        <x:v>先读指南与虚构示例</x:v>
      </x:c>
      <x:c r="C8" s="3" t="str">
        <x:v>训练示例；要件与标签</x:v>
      </x:c>
      <x:c r="D8" s="12"/>
      <x:c r="E8" s="12"/>
      <x:c r="F8" s="12"/>
    </x:row>
    <x:row r="9" ht="44" customHeight="1">
      <x:c r="A9" s="3" t="n">
        <x:v>2</x:v>
      </x:c>
      <x:c r="B9" s="3" t="str">
        <x:v>协调员登记案件和材料，分配独立A/B副本</x:v>
      </x:c>
      <x:c r="C9" s="3" t="str">
        <x:v>案件；材料；任务登记</x:v>
      </x:c>
      <x:c r="D9" s="12"/>
      <x:c r="E9" s="12"/>
      <x:c r="F9" s="12"/>
    </x:row>
    <x:row r="10" ht="44" customHeight="1">
      <x:c r="A10" s="3" t="n">
        <x:v>3</x:v>
      </x:c>
      <x:c r="B10" s="3" t="str">
        <x:v>定位片段，整理主体事件和资金</x:v>
      </x:c>
      <x:c r="C10" s="3" t="str">
        <x:v>证据片段；实体；事件；关系；金额</x:v>
      </x:c>
      <x:c r="D10" s="12"/>
      <x:c r="E10" s="12"/>
      <x:c r="F10" s="12"/>
    </x:row>
    <x:row r="11" ht="44" customHeight="1">
      <x:c r="A11" s="3" t="n">
        <x:v>4</x:v>
      </x:c>
      <x:c r="B11" s="3" t="str">
        <x:v>逐要件审查；锁定初始答案后再揭示更新</x:v>
      </x:c>
      <x:c r="C11" s="3" t="str">
        <x:v>要件审查；论证；更新处置；扩展审查</x:v>
      </x:c>
      <x:c r="D11" s="12"/>
      <x:c r="E11" s="12"/>
      <x:c r="F11" s="12"/>
    </x:row>
    <x:row r="12" ht="44" customHeight="1">
      <x:c r="A12" s="3" t="n">
        <x:v>5</x:v>
      </x:c>
      <x:c r="B12" s="3" t="str">
        <x:v>保留两份原标注，由第三人记录裁决</x:v>
      </x:c>
      <x:c r="C12" s="3" t="str">
        <x:v>裁决；完整参考包</x:v>
      </x:c>
      <x:c r="D12" s="12"/>
      <x:c r="E12" s="12"/>
      <x:c r="F12" s="12"/>
    </x:row>
    <x:row r="13" ht="30" customHeight="1">
      <x:c r="A13" s="3"/>
      <x:c r="B13" s="3"/>
      <x:c r="C13" s="3"/>
      <x:c r="D13" s="12"/>
      <x:c r="E13" s="12"/>
      <x:c r="F13" s="12"/>
    </x:row>
    <x:row r="14" ht="40" customHeight="1">
      <x:c r="A14" s="3" t="str">
        <x:v>使用限制</x:v>
      </x:c>
      <x:c r="B14" s="3" t="str">
        <x:v>v1；2026-09-12；供专家试标后冻结</x:v>
      </x:c>
      <x:c r="C14" s="3"/>
      <x:c r="D14" s="12"/>
      <x:c r="E14" s="12"/>
      <x:c r="F14" s="12"/>
    </x:row>
    <x:row r="15" ht="40" customHeight="1">
      <x:c r="A15" s="3" t="str">
        <x:v>空白正式区</x:v>
      </x:c>
      <x:c r="B15" s="3" t="str">
        <x:v>200条预留行/表；训练示例不进入任务计数</x:v>
      </x:c>
      <x:c r="C15" s="3"/>
      <x:c r="D15" s="12"/>
      <x:c r="E15" s="12"/>
      <x:c r="F15" s="12"/>
    </x:row>
    <x:row r="16" ht="40" customHeight="1">
      <x:c r="A16" s="3" t="str">
        <x:v>编辑颜色</x:v>
      </x:c>
      <x:c r="B16" s="3" t="str">
        <x:v>浅黄为输入；灰色记录检查为公式</x:v>
      </x:c>
      <x:c r="C16" s="3"/>
      <x:c r="D16" s="12"/>
      <x:c r="E16" s="12"/>
      <x:c r="F16" s="12"/>
    </x:row>
    <x:row r="17" ht="40" customHeight="1">
      <x:c r="A17" s="3" t="str">
        <x:v>检查含义</x:v>
      </x:c>
      <x:c r="B17" s="3" t="str">
        <x:v>字段齐备只代表基础结构检查通过，不代表法律正确或已完成</x:v>
      </x:c>
      <x:c r="C17" s="3"/>
      <x:c r="D17" s="12"/>
      <x:c r="E17" s="12"/>
      <x:c r="F17" s="12"/>
    </x:row>
    <x:row r="18" ht="40" customHeight="1">
      <x:c r="A18" s="3" t="str">
        <x:v>证据ID列表</x:v>
      </x:c>
      <x:c r="B18" s="3" t="str">
        <x:v>多个ID用英文分号分隔；无证据不能以UNKNOWN虚填ID列表</x:v>
      </x:c>
      <x:c r="C18" s="3"/>
      <x:c r="D18" s="12"/>
      <x:c r="E18" s="12"/>
      <x:c r="F18" s="12"/>
    </x:row>
    <x:row r="19" ht="40" customHeight="1">
      <x:c r="A19" s="3" t="str">
        <x:v>独立标注</x:v>
      </x:c>
      <x:c r="B19" s="3" t="str">
        <x:v>A/B必须分发不同副本；实体目录由协调员冻结。归属争议在各自任务记录</x:v>
      </x:c>
      <x:c r="C19" s="3"/>
      <x:c r="D19" s="12"/>
      <x:c r="E19" s="12"/>
      <x:c r="F19" s="12"/>
    </x:row>
    <x:row r="20" ht="40" customHeight="1">
      <x:c r="A20" s="3" t="str">
        <x:v>初始锁定</x:v>
      </x:c>
      <x:c r="B20" s="3" t="str">
        <x:v>E0提交后只读封存；后续揭示的新材料不得回填旧答案</x:v>
      </x:c>
      <x:c r="C20" s="3"/>
      <x:c r="D20" s="12"/>
      <x:c r="E20" s="12"/>
      <x:c r="F20" s="12"/>
    </x:row>
    <x:row r="21" ht="40" customHeight="1">
      <x:c r="A21" s="3" t="str">
        <x:v>日期与金额</x:v>
      </x:c>
      <x:c r="B21" s="3" t="str">
        <x:v>精确时间按ISO格式含时区；未知日期保留原文。金额单列数字币种单位</x:v>
      </x:c>
      <x:c r="C21" s="3"/>
      <x:c r="D21" s="12"/>
      <x:c r="E21" s="12"/>
      <x:c r="F21" s="12"/>
    </x:row>
    <x:row r="22" ht="40" customHeight="1">
      <x:c r="A22" s="3" t="str">
        <x:v>扩容规则</x:v>
      </x:c>
      <x:c r="B22" s="3" t="str">
        <x:v>超过200行由协调员统一扩展表、下拉、公式和计数范围，再验证</x:v>
      </x:c>
      <x:c r="C22" s="3"/>
      <x:c r="D22" s="12"/>
      <x:c r="E22" s="12"/>
      <x:c r="F22" s="12"/>
    </x:row>
    <x:row r="23" ht="40" customHeight="1">
      <x:c r="A23" s="3" t="str">
        <x:v>法律边界</x:v>
      </x:c>
      <x:c r="B23" s="3" t="str">
        <x:v>不自动定罪或算刑期；规范条件和争议须由法律专家填写</x:v>
      </x:c>
      <x:c r="C23" s="3"/>
      <x:c r="D23" s="12"/>
      <x:c r="E23" s="12"/>
      <x:c r="F23" s="12"/>
    </x:row>
    <x:row r="24" ht="40" customHeight="1">
      <x:c r="A24" s="3"/>
      <x:c r="B24" s="3"/>
      <x:c r="C24" s="3"/>
      <x:c r="D24" s="12"/>
      <x:c r="E24" s="12"/>
      <x:c r="F24" s="12"/>
    </x:row>
    <x:row r="25" ht="40" customHeight="1">
      <x:c r="A25" s="3" t="str">
        <x:v>罪名覆盖</x:v>
      </x:c>
      <x:c r="B25" s="3" t="str">
        <x:v>帮信罪；掩隐罪；诈骗罪及其共同犯罪。其他罪名和非刑事路径可保留</x:v>
      </x:c>
      <x:c r="C25" s="3"/>
      <x:c r="D25" s="12"/>
      <x:c r="E25" s="12"/>
      <x:c r="F25" s="12"/>
    </x:row>
    <x:row r="26" ht="40" customHeight="1">
      <x:c r="A26" s="3" t="str">
        <x:v>共同犯罪</x:v>
      </x:c>
      <x:c r="B26" s="3" t="str">
        <x:v>诈骗罪共同犯罪是诈骗罪参与形态，不是第四个独立罪名</x:v>
      </x:c>
      <x:c r="C26" s="3"/>
      <x:c r="D26" s="12"/>
      <x:c r="E26" s="12"/>
      <x:c r="F26" s="12"/>
    </x:row>
    <x:row r="27" ht="40" customHeight="1">
      <x:c r="A27" s="3" t="str">
        <x:v>金额口径</x:v>
      </x:c>
      <x:c r="B27" s="3" t="str">
        <x:v>八类金额分别记录，不能跨币种、口径或同一财物重复累加</x:v>
      </x:c>
      <x:c r="C27" s="3"/>
      <x:c r="D27" s="12"/>
      <x:c r="E27" s="12"/>
      <x:c r="F27" s="12"/>
    </x:row>
    <x:row r="28" ht="40" customHeight="1">
      <x:c r="A28" s="3" t="str">
        <x:v>动态更新</x:v>
      </x:c>
      <x:c r="B28" s="3" t="str">
        <x:v>KEEP/REVISE/STOP/PENDING与支持状态S分别记录</x:v>
      </x:c>
      <x:c r="C28" s="3"/>
      <x:c r="D28" s="12"/>
      <x:c r="E28" s="12"/>
      <x:c r="F28" s="12"/>
    </x:row>
    <x:row r="29" ht="40" customHeight="1">
      <x:c r="A29" s="3" t="str">
        <x:v>版本审查</x:v>
      </x:c>
      <x:c r="B29" s="3" t="str">
        <x:v>来源新增不当然取代旧材料；明确更正只作用于指定范围</x:v>
      </x:c>
      <x:c r="C29" s="3"/>
      <x:c r="D29" s="12"/>
      <x:c r="E29" s="12"/>
      <x:c r="F29" s="12"/>
    </x:row>
    <x:row r="30" ht="40" customHeight="1">
      <x:c r="A30" s="3" t="str">
        <x:v>导出提示</x:v>
      </x:c>
      <x:c r="B30" s="3" t="str">
        <x:v>首行是字段名。空白行按首列过滤；公式检查列不作研究标签</x:v>
      </x:c>
      <x:c r="C30" s="3"/>
      <x:c r="D30" s="12"/>
      <x:c r="E30" s="12"/>
      <x:c r="F30" s="12"/>
    </x:row>
    <x:row r="31" ht="30" customHeight="1">
      <x:c r="A31" s="12"/>
      <x:c r="B31" s="12"/>
      <x:c r="C31" s="12"/>
      <x:c r="D31" s="12"/>
      <x:c r="E31" s="12"/>
      <x:c r="F31" s="12"/>
    </x:row>
    <x:row r="32" ht="30" customHeight="1">
      <x:c r="A32" s="12"/>
      <x:c r="B32" s="12"/>
      <x:c r="C32" s="12"/>
      <x:c r="D32" s="12"/>
      <x:c r="E32" s="12"/>
      <x:c r="F32" s="12"/>
    </x:row>
    <x:row r="33" ht="30" customHeight="1">
      <x:c r="A33" s="12"/>
      <x:c r="B33" s="12"/>
      <x:c r="C33" s="12"/>
      <x:c r="D33" s="12"/>
      <x:c r="E33" s="12"/>
      <x:c r="F33" s="12"/>
    </x:row>
    <x:row r="34" ht="30" customHeight="1">
      <x:c r="A34" s="12"/>
      <x:c r="B34" s="12"/>
      <x:c r="C34" s="12"/>
      <x:c r="D34" s="12"/>
      <x:c r="E34" s="12"/>
      <x:c r="F34" s="12"/>
    </x:row>
    <x:row r="35" ht="30" customHeight="1">
      <x:c r="A35" s="12"/>
      <x:c r="B35" s="12"/>
      <x:c r="C35" s="12"/>
      <x:c r="D35" s="12"/>
      <x:c r="E35" s="12"/>
      <x:c r="F3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4" hidden="0" customWidth="1"/>
    <x:col min="15" max="15" width="20" hidden="0" customWidth="1"/>
  </x:cols>
  <x:sheetData>
    <x:row r="1" ht="52" customHeight="1">
      <x:c r="A1" s="6" t="str">
        <x:v>任务ID</x:v>
      </x:c>
      <x:c r="B1" s="6" t="str">
        <x:v>案件ID</x:v>
      </x:c>
      <x:c r="C1" s="6" t="str">
        <x:v>用途</x:v>
      </x:c>
      <x:c r="D1" s="6" t="str">
        <x:v>评价方式</x:v>
      </x:c>
      <x:c r="E1" s="6" t="str">
        <x:v>标注者代号</x:v>
      </x:c>
      <x:c r="F1" s="6" t="str">
        <x:v>标注角色</x:v>
      </x:c>
      <x:c r="G1" s="6" t="str">
        <x:v>可见阶段</x:v>
      </x:c>
      <x:c r="H1" s="6" t="str">
        <x:v>可见材料清单</x:v>
      </x:c>
      <x:c r="I1" s="6" t="str">
        <x:v>规范包版本</x:v>
      </x:c>
      <x:c r="J1" s="6" t="str">
        <x:v>指南版本</x:v>
      </x:c>
      <x:c r="K1" s="6" t="str">
        <x:v>初始锁定时间</x:v>
      </x:c>
      <x:c r="L1" s="6" t="str">
        <x:v>完成状态</x:v>
      </x:c>
      <x:c r="M1" s="6" t="str">
        <x:v>用时分钟</x:v>
      </x:c>
      <x:c r="N1" s="6" t="str">
        <x:v>备注</x:v>
      </x:c>
      <x:c r="O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9"/>
      <x:c r="N2" s="8"/>
      <x:c r="O2" s="10" t="str">
        <x:f>IF(COUNTA(A2:N2)=0,"",IF(OR(A2="",B2="",C2="",D2="",E2="",F2="",G2="",H2="",I2="",J2="",L2=""),"缺必填",IF(COUNTIF($A$2:$A$201,A2)&gt;1,"ID重复",IF(COUNTIF('案件'!$A$2:$A$201,B2)&lt;&gt;1,"案件ID无效",IF(AND(F2&lt;&gt;"A",F2&lt;&gt;"B",F2&lt;&gt;"C"),"标注角色无效","字段齐备")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9"/>
      <x:c r="N3" s="8"/>
      <x:c r="O3" s="10" t="str">
        <x:f>IF(COUNTA(A3:N3)=0,"",IF(OR(A3="",B3="",C3="",D3="",E3="",F3="",G3="",H3="",I3="",J3="",L3=""),"缺必填",IF(COUNTIF($A$2:$A$201,A3)&gt;1,"ID重复",IF(COUNTIF('案件'!$A$2:$A$201,B3)&lt;&gt;1,"案件ID无效",IF(AND(F3&lt;&gt;"A",F3&lt;&gt;"B",F3&lt;&gt;"C"),"标注角色无效","字段齐备")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9"/>
      <x:c r="N4" s="8"/>
      <x:c r="O4" s="10" t="str">
        <x:f>IF(COUNTA(A4:N4)=0,"",IF(OR(A4="",B4="",C4="",D4="",E4="",F4="",G4="",H4="",I4="",J4="",L4=""),"缺必填",IF(COUNTIF($A$2:$A$201,A4)&gt;1,"ID重复",IF(COUNTIF('案件'!$A$2:$A$201,B4)&lt;&gt;1,"案件ID无效",IF(AND(F4&lt;&gt;"A",F4&lt;&gt;"B",F4&lt;&gt;"C"),"标注角色无效","字段齐备")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9"/>
      <x:c r="N5" s="8"/>
      <x:c r="O5" s="10" t="str">
        <x:f>IF(COUNTA(A5:N5)=0,"",IF(OR(A5="",B5="",C5="",D5="",E5="",F5="",G5="",H5="",I5="",J5="",L5=""),"缺必填",IF(COUNTIF($A$2:$A$201,A5)&gt;1,"ID重复",IF(COUNTIF('案件'!$A$2:$A$201,B5)&lt;&gt;1,"案件ID无效",IF(AND(F5&lt;&gt;"A",F5&lt;&gt;"B",F5&lt;&gt;"C"),"标注角色无效","字段齐备")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9"/>
      <x:c r="N6" s="8"/>
      <x:c r="O6" s="10" t="str">
        <x:f>IF(COUNTA(A6:N6)=0,"",IF(OR(A6="",B6="",C6="",D6="",E6="",F6="",G6="",H6="",I6="",J6="",L6=""),"缺必填",IF(COUNTIF($A$2:$A$201,A6)&gt;1,"ID重复",IF(COUNTIF('案件'!$A$2:$A$201,B6)&lt;&gt;1,"案件ID无效",IF(AND(F6&lt;&gt;"A",F6&lt;&gt;"B",F6&lt;&gt;"C"),"标注角色无效","字段齐备")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9"/>
      <x:c r="N7" s="8"/>
      <x:c r="O7" s="10" t="str">
        <x:f>IF(COUNTA(A7:N7)=0,"",IF(OR(A7="",B7="",C7="",D7="",E7="",F7="",G7="",H7="",I7="",J7="",L7=""),"缺必填",IF(COUNTIF($A$2:$A$201,A7)&gt;1,"ID重复",IF(COUNTIF('案件'!$A$2:$A$201,B7)&lt;&gt;1,"案件ID无效",IF(AND(F7&lt;&gt;"A",F7&lt;&gt;"B",F7&lt;&gt;"C"),"标注角色无效","字段齐备")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9"/>
      <x:c r="N8" s="8"/>
      <x:c r="O8" s="10" t="str">
        <x:f>IF(COUNTA(A8:N8)=0,"",IF(OR(A8="",B8="",C8="",D8="",E8="",F8="",G8="",H8="",I8="",J8="",L8=""),"缺必填",IF(COUNTIF($A$2:$A$201,A8)&gt;1,"ID重复",IF(COUNTIF('案件'!$A$2:$A$201,B8)&lt;&gt;1,"案件ID无效",IF(AND(F8&lt;&gt;"A",F8&lt;&gt;"B",F8&lt;&gt;"C"),"标注角色无效","字段齐备")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9"/>
      <x:c r="N9" s="8"/>
      <x:c r="O9" s="10" t="str">
        <x:f>IF(COUNTA(A9:N9)=0,"",IF(OR(A9="",B9="",C9="",D9="",E9="",F9="",G9="",H9="",I9="",J9="",L9=""),"缺必填",IF(COUNTIF($A$2:$A$201,A9)&gt;1,"ID重复",IF(COUNTIF('案件'!$A$2:$A$201,B9)&lt;&gt;1,"案件ID无效",IF(AND(F9&lt;&gt;"A",F9&lt;&gt;"B",F9&lt;&gt;"C"),"标注角色无效","字段齐备")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9"/>
      <x:c r="N10" s="8"/>
      <x:c r="O10" s="10" t="str">
        <x:f>IF(COUNTA(A10:N10)=0,"",IF(OR(A10="",B10="",C10="",D10="",E10="",F10="",G10="",H10="",I10="",J10="",L10=""),"缺必填",IF(COUNTIF($A$2:$A$201,A10)&gt;1,"ID重复",IF(COUNTIF('案件'!$A$2:$A$201,B10)&lt;&gt;1,"案件ID无效",IF(AND(F10&lt;&gt;"A",F10&lt;&gt;"B",F10&lt;&gt;"C"),"标注角色无效","字段齐备")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9"/>
      <x:c r="N11" s="8"/>
      <x:c r="O11" s="10" t="str">
        <x:f>IF(COUNTA(A11:N11)=0,"",IF(OR(A11="",B11="",C11="",D11="",E11="",F11="",G11="",H11="",I11="",J11="",L11=""),"缺必填",IF(COUNTIF($A$2:$A$201,A11)&gt;1,"ID重复",IF(COUNTIF('案件'!$A$2:$A$201,B11)&lt;&gt;1,"案件ID无效",IF(AND(F11&lt;&gt;"A",F11&lt;&gt;"B",F11&lt;&gt;"C"),"标注角色无效","字段齐备")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9"/>
      <x:c r="N12" s="8"/>
      <x:c r="O12" s="10" t="str">
        <x:f>IF(COUNTA(A12:N12)=0,"",IF(OR(A12="",B12="",C12="",D12="",E12="",F12="",G12="",H12="",I12="",J12="",L12=""),"缺必填",IF(COUNTIF($A$2:$A$201,A12)&gt;1,"ID重复",IF(COUNTIF('案件'!$A$2:$A$201,B12)&lt;&gt;1,"案件ID无效",IF(AND(F12&lt;&gt;"A",F12&lt;&gt;"B",F12&lt;&gt;"C"),"标注角色无效","字段齐备")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9"/>
      <x:c r="N13" s="8"/>
      <x:c r="O13" s="10" t="str">
        <x:f>IF(COUNTA(A13:N13)=0,"",IF(OR(A13="",B13="",C13="",D13="",E13="",F13="",G13="",H13="",I13="",J13="",L13=""),"缺必填",IF(COUNTIF($A$2:$A$201,A13)&gt;1,"ID重复",IF(COUNTIF('案件'!$A$2:$A$201,B13)&lt;&gt;1,"案件ID无效",IF(AND(F13&lt;&gt;"A",F13&lt;&gt;"B",F13&lt;&gt;"C"),"标注角色无效","字段齐备")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9"/>
      <x:c r="N14" s="8"/>
      <x:c r="O14" s="10" t="str">
        <x:f>IF(COUNTA(A14:N14)=0,"",IF(OR(A14="",B14="",C14="",D14="",E14="",F14="",G14="",H14="",I14="",J14="",L14=""),"缺必填",IF(COUNTIF($A$2:$A$201,A14)&gt;1,"ID重复",IF(COUNTIF('案件'!$A$2:$A$201,B14)&lt;&gt;1,"案件ID无效",IF(AND(F14&lt;&gt;"A",F14&lt;&gt;"B",F14&lt;&gt;"C"),"标注角色无效","字段齐备")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9"/>
      <x:c r="N15" s="8"/>
      <x:c r="O15" s="10" t="str">
        <x:f>IF(COUNTA(A15:N15)=0,"",IF(OR(A15="",B15="",C15="",D15="",E15="",F15="",G15="",H15="",I15="",J15="",L15=""),"缺必填",IF(COUNTIF($A$2:$A$201,A15)&gt;1,"ID重复",IF(COUNTIF('案件'!$A$2:$A$201,B15)&lt;&gt;1,"案件ID无效",IF(AND(F15&lt;&gt;"A",F15&lt;&gt;"B",F15&lt;&gt;"C"),"标注角色无效","字段齐备")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9"/>
      <x:c r="N16" s="8"/>
      <x:c r="O16" s="10" t="str">
        <x:f>IF(COUNTA(A16:N16)=0,"",IF(OR(A16="",B16="",C16="",D16="",E16="",F16="",G16="",H16="",I16="",J16="",L16=""),"缺必填",IF(COUNTIF($A$2:$A$201,A16)&gt;1,"ID重复",IF(COUNTIF('案件'!$A$2:$A$201,B16)&lt;&gt;1,"案件ID无效",IF(AND(F16&lt;&gt;"A",F16&lt;&gt;"B",F16&lt;&gt;"C"),"标注角色无效","字段齐备")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9"/>
      <x:c r="N17" s="8"/>
      <x:c r="O17" s="10" t="str">
        <x:f>IF(COUNTA(A17:N17)=0,"",IF(OR(A17="",B17="",C17="",D17="",E17="",F17="",G17="",H17="",I17="",J17="",L17=""),"缺必填",IF(COUNTIF($A$2:$A$201,A17)&gt;1,"ID重复",IF(COUNTIF('案件'!$A$2:$A$201,B17)&lt;&gt;1,"案件ID无效",IF(AND(F17&lt;&gt;"A",F17&lt;&gt;"B",F17&lt;&gt;"C"),"标注角色无效","字段齐备")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9"/>
      <x:c r="N18" s="8"/>
      <x:c r="O18" s="10" t="str">
        <x:f>IF(COUNTA(A18:N18)=0,"",IF(OR(A18="",B18="",C18="",D18="",E18="",F18="",G18="",H18="",I18="",J18="",L18=""),"缺必填",IF(COUNTIF($A$2:$A$201,A18)&gt;1,"ID重复",IF(COUNTIF('案件'!$A$2:$A$201,B18)&lt;&gt;1,"案件ID无效",IF(AND(F18&lt;&gt;"A",F18&lt;&gt;"B",F18&lt;&gt;"C"),"标注角色无效","字段齐备")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9"/>
      <x:c r="N19" s="8"/>
      <x:c r="O19" s="10" t="str">
        <x:f>IF(COUNTA(A19:N19)=0,"",IF(OR(A19="",B19="",C19="",D19="",E19="",F19="",G19="",H19="",I19="",J19="",L19=""),"缺必填",IF(COUNTIF($A$2:$A$201,A19)&gt;1,"ID重复",IF(COUNTIF('案件'!$A$2:$A$201,B19)&lt;&gt;1,"案件ID无效",IF(AND(F19&lt;&gt;"A",F19&lt;&gt;"B",F19&lt;&gt;"C"),"标注角色无效","字段齐备")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9"/>
      <x:c r="N20" s="8"/>
      <x:c r="O20" s="10" t="str">
        <x:f>IF(COUNTA(A20:N20)=0,"",IF(OR(A20="",B20="",C20="",D20="",E20="",F20="",G20="",H20="",I20="",J20="",L20=""),"缺必填",IF(COUNTIF($A$2:$A$201,A20)&gt;1,"ID重复",IF(COUNTIF('案件'!$A$2:$A$201,B20)&lt;&gt;1,"案件ID无效",IF(AND(F20&lt;&gt;"A",F20&lt;&gt;"B",F20&lt;&gt;"C"),"标注角色无效","字段齐备")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9"/>
      <x:c r="N21" s="8"/>
      <x:c r="O21" s="10" t="str">
        <x:f>IF(COUNTA(A21:N21)=0,"",IF(OR(A21="",B21="",C21="",D21="",E21="",F21="",G21="",H21="",I21="",J21="",L21=""),"缺必填",IF(COUNTIF($A$2:$A$201,A21)&gt;1,"ID重复",IF(COUNTIF('案件'!$A$2:$A$201,B21)&lt;&gt;1,"案件ID无效",IF(AND(F21&lt;&gt;"A",F21&lt;&gt;"B",F21&lt;&gt;"C"),"标注角色无效","字段齐备")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9"/>
      <x:c r="N22" s="8"/>
      <x:c r="O22" s="10" t="str">
        <x:f>IF(COUNTA(A22:N22)=0,"",IF(OR(A22="",B22="",C22="",D22="",E22="",F22="",G22="",H22="",I22="",J22="",L22=""),"缺必填",IF(COUNTIF($A$2:$A$201,A22)&gt;1,"ID重复",IF(COUNTIF('案件'!$A$2:$A$201,B22)&lt;&gt;1,"案件ID无效",IF(AND(F22&lt;&gt;"A",F22&lt;&gt;"B",F22&lt;&gt;"C"),"标注角色无效","字段齐备")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9"/>
      <x:c r="N23" s="8"/>
      <x:c r="O23" s="10" t="str">
        <x:f>IF(COUNTA(A23:N23)=0,"",IF(OR(A23="",B23="",C23="",D23="",E23="",F23="",G23="",H23="",I23="",J23="",L23=""),"缺必填",IF(COUNTIF($A$2:$A$201,A23)&gt;1,"ID重复",IF(COUNTIF('案件'!$A$2:$A$201,B23)&lt;&gt;1,"案件ID无效",IF(AND(F23&lt;&gt;"A",F23&lt;&gt;"B",F23&lt;&gt;"C"),"标注角色无效","字段齐备")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9"/>
      <x:c r="N24" s="8"/>
      <x:c r="O24" s="10" t="str">
        <x:f>IF(COUNTA(A24:N24)=0,"",IF(OR(A24="",B24="",C24="",D24="",E24="",F24="",G24="",H24="",I24="",J24="",L24=""),"缺必填",IF(COUNTIF($A$2:$A$201,A24)&gt;1,"ID重复",IF(COUNTIF('案件'!$A$2:$A$201,B24)&lt;&gt;1,"案件ID无效",IF(AND(F24&lt;&gt;"A",F24&lt;&gt;"B",F24&lt;&gt;"C"),"标注角色无效","字段齐备")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9"/>
      <x:c r="N25" s="8"/>
      <x:c r="O25" s="10" t="str">
        <x:f>IF(COUNTA(A25:N25)=0,"",IF(OR(A25="",B25="",C25="",D25="",E25="",F25="",G25="",H25="",I25="",J25="",L25=""),"缺必填",IF(COUNTIF($A$2:$A$201,A25)&gt;1,"ID重复",IF(COUNTIF('案件'!$A$2:$A$201,B25)&lt;&gt;1,"案件ID无效",IF(AND(F25&lt;&gt;"A",F25&lt;&gt;"B",F25&lt;&gt;"C"),"标注角色无效","字段齐备")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9"/>
      <x:c r="N26" s="8"/>
      <x:c r="O26" s="10" t="str">
        <x:f>IF(COUNTA(A26:N26)=0,"",IF(OR(A26="",B26="",C26="",D26="",E26="",F26="",G26="",H26="",I26="",J26="",L26=""),"缺必填",IF(COUNTIF($A$2:$A$201,A26)&gt;1,"ID重复",IF(COUNTIF('案件'!$A$2:$A$201,B26)&lt;&gt;1,"案件ID无效",IF(AND(F26&lt;&gt;"A",F26&lt;&gt;"B",F26&lt;&gt;"C"),"标注角色无效","字段齐备")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9"/>
      <x:c r="N27" s="8"/>
      <x:c r="O27" s="10" t="str">
        <x:f>IF(COUNTA(A27:N27)=0,"",IF(OR(A27="",B27="",C27="",D27="",E27="",F27="",G27="",H27="",I27="",J27="",L27=""),"缺必填",IF(COUNTIF($A$2:$A$201,A27)&gt;1,"ID重复",IF(COUNTIF('案件'!$A$2:$A$201,B27)&lt;&gt;1,"案件ID无效",IF(AND(F27&lt;&gt;"A",F27&lt;&gt;"B",F27&lt;&gt;"C"),"标注角色无效","字段齐备")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9"/>
      <x:c r="N28" s="8"/>
      <x:c r="O28" s="10" t="str">
        <x:f>IF(COUNTA(A28:N28)=0,"",IF(OR(A28="",B28="",C28="",D28="",E28="",F28="",G28="",H28="",I28="",J28="",L28=""),"缺必填",IF(COUNTIF($A$2:$A$201,A28)&gt;1,"ID重复",IF(COUNTIF('案件'!$A$2:$A$201,B28)&lt;&gt;1,"案件ID无效",IF(AND(F28&lt;&gt;"A",F28&lt;&gt;"B",F28&lt;&gt;"C"),"标注角色无效","字段齐备")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9"/>
      <x:c r="N29" s="8"/>
      <x:c r="O29" s="10" t="str">
        <x:f>IF(COUNTA(A29:N29)=0,"",IF(OR(A29="",B29="",C29="",D29="",E29="",F29="",G29="",H29="",I29="",J29="",L29=""),"缺必填",IF(COUNTIF($A$2:$A$201,A29)&gt;1,"ID重复",IF(COUNTIF('案件'!$A$2:$A$201,B29)&lt;&gt;1,"案件ID无效",IF(AND(F29&lt;&gt;"A",F29&lt;&gt;"B",F29&lt;&gt;"C"),"标注角色无效","字段齐备")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9"/>
      <x:c r="N30" s="8"/>
      <x:c r="O30" s="10" t="str">
        <x:f>IF(COUNTA(A30:N30)=0,"",IF(OR(A30="",B30="",C30="",D30="",E30="",F30="",G30="",H30="",I30="",J30="",L30=""),"缺必填",IF(COUNTIF($A$2:$A$201,A30)&gt;1,"ID重复",IF(COUNTIF('案件'!$A$2:$A$201,B30)&lt;&gt;1,"案件ID无效",IF(AND(F30&lt;&gt;"A",F30&lt;&gt;"B",F30&lt;&gt;"C"),"标注角色无效","字段齐备")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9"/>
      <x:c r="N31" s="8"/>
      <x:c r="O31" s="10" t="str">
        <x:f>IF(COUNTA(A31:N31)=0,"",IF(OR(A31="",B31="",C31="",D31="",E31="",F31="",G31="",H31="",I31="",J31="",L31=""),"缺必填",IF(COUNTIF($A$2:$A$201,A31)&gt;1,"ID重复",IF(COUNTIF('案件'!$A$2:$A$201,B31)&lt;&gt;1,"案件ID无效",IF(AND(F31&lt;&gt;"A",F31&lt;&gt;"B",F31&lt;&gt;"C"),"标注角色无效","字段齐备")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9"/>
      <x:c r="N32" s="8"/>
      <x:c r="O32" s="10" t="str">
        <x:f>IF(COUNTA(A32:N32)=0,"",IF(OR(A32="",B32="",C32="",D32="",E32="",F32="",G32="",H32="",I32="",J32="",L32=""),"缺必填",IF(COUNTIF($A$2:$A$201,A32)&gt;1,"ID重复",IF(COUNTIF('案件'!$A$2:$A$201,B32)&lt;&gt;1,"案件ID无效",IF(AND(F32&lt;&gt;"A",F32&lt;&gt;"B",F32&lt;&gt;"C"),"标注角色无效","字段齐备")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9"/>
      <x:c r="N33" s="8"/>
      <x:c r="O33" s="10" t="str">
        <x:f>IF(COUNTA(A33:N33)=0,"",IF(OR(A33="",B33="",C33="",D33="",E33="",F33="",G33="",H33="",I33="",J33="",L33=""),"缺必填",IF(COUNTIF($A$2:$A$201,A33)&gt;1,"ID重复",IF(COUNTIF('案件'!$A$2:$A$201,B33)&lt;&gt;1,"案件ID无效",IF(AND(F33&lt;&gt;"A",F33&lt;&gt;"B",F33&lt;&gt;"C"),"标注角色无效","字段齐备")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9"/>
      <x:c r="N34" s="8"/>
      <x:c r="O34" s="10" t="str">
        <x:f>IF(COUNTA(A34:N34)=0,"",IF(OR(A34="",B34="",C34="",D34="",E34="",F34="",G34="",H34="",I34="",J34="",L34=""),"缺必填",IF(COUNTIF($A$2:$A$201,A34)&gt;1,"ID重复",IF(COUNTIF('案件'!$A$2:$A$201,B34)&lt;&gt;1,"案件ID无效",IF(AND(F34&lt;&gt;"A",F34&lt;&gt;"B",F34&lt;&gt;"C"),"标注角色无效","字段齐备")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9"/>
      <x:c r="N35" s="8"/>
      <x:c r="O35" s="10" t="str">
        <x:f>IF(COUNTA(A35:N35)=0,"",IF(OR(A35="",B35="",C35="",D35="",E35="",F35="",G35="",H35="",I35="",J35="",L35=""),"缺必填",IF(COUNTIF($A$2:$A$201,A35)&gt;1,"ID重复",IF(COUNTIF('案件'!$A$2:$A$201,B35)&lt;&gt;1,"案件ID无效",IF(AND(F35&lt;&gt;"A",F35&lt;&gt;"B",F35&lt;&gt;"C"),"标注角色无效","字段齐备")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9"/>
      <x:c r="N36" s="8"/>
      <x:c r="O36" s="10" t="str">
        <x:f>IF(COUNTA(A36:N36)=0,"",IF(OR(A36="",B36="",C36="",D36="",E36="",F36="",G36="",H36="",I36="",J36="",L36=""),"缺必填",IF(COUNTIF($A$2:$A$201,A36)&gt;1,"ID重复",IF(COUNTIF('案件'!$A$2:$A$201,B36)&lt;&gt;1,"案件ID无效",IF(AND(F36&lt;&gt;"A",F36&lt;&gt;"B",F36&lt;&gt;"C"),"标注角色无效","字段齐备")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9"/>
      <x:c r="N37" s="8"/>
      <x:c r="O37" s="10" t="str">
        <x:f>IF(COUNTA(A37:N37)=0,"",IF(OR(A37="",B37="",C37="",D37="",E37="",F37="",G37="",H37="",I37="",J37="",L37=""),"缺必填",IF(COUNTIF($A$2:$A$201,A37)&gt;1,"ID重复",IF(COUNTIF('案件'!$A$2:$A$201,B37)&lt;&gt;1,"案件ID无效",IF(AND(F37&lt;&gt;"A",F37&lt;&gt;"B",F37&lt;&gt;"C"),"标注角色无效","字段齐备")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9"/>
      <x:c r="N38" s="8"/>
      <x:c r="O38" s="10" t="str">
        <x:f>IF(COUNTA(A38:N38)=0,"",IF(OR(A38="",B38="",C38="",D38="",E38="",F38="",G38="",H38="",I38="",J38="",L38=""),"缺必填",IF(COUNTIF($A$2:$A$201,A38)&gt;1,"ID重复",IF(COUNTIF('案件'!$A$2:$A$201,B38)&lt;&gt;1,"案件ID无效",IF(AND(F38&lt;&gt;"A",F38&lt;&gt;"B",F38&lt;&gt;"C"),"标注角色无效","字段齐备")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9"/>
      <x:c r="N39" s="8"/>
      <x:c r="O39" s="10" t="str">
        <x:f>IF(COUNTA(A39:N39)=0,"",IF(OR(A39="",B39="",C39="",D39="",E39="",F39="",G39="",H39="",I39="",J39="",L39=""),"缺必填",IF(COUNTIF($A$2:$A$201,A39)&gt;1,"ID重复",IF(COUNTIF('案件'!$A$2:$A$201,B39)&lt;&gt;1,"案件ID无效",IF(AND(F39&lt;&gt;"A",F39&lt;&gt;"B",F39&lt;&gt;"C"),"标注角色无效","字段齐备")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9"/>
      <x:c r="N40" s="8"/>
      <x:c r="O40" s="10" t="str">
        <x:f>IF(COUNTA(A40:N40)=0,"",IF(OR(A40="",B40="",C40="",D40="",E40="",F40="",G40="",H40="",I40="",J40="",L40=""),"缺必填",IF(COUNTIF($A$2:$A$201,A40)&gt;1,"ID重复",IF(COUNTIF('案件'!$A$2:$A$201,B40)&lt;&gt;1,"案件ID无效",IF(AND(F40&lt;&gt;"A",F40&lt;&gt;"B",F40&lt;&gt;"C"),"标注角色无效","字段齐备")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9"/>
      <x:c r="N41" s="8"/>
      <x:c r="O41" s="10" t="str">
        <x:f>IF(COUNTA(A41:N41)=0,"",IF(OR(A41="",B41="",C41="",D41="",E41="",F41="",G41="",H41="",I41="",J41="",L41=""),"缺必填",IF(COUNTIF($A$2:$A$201,A41)&gt;1,"ID重复",IF(COUNTIF('案件'!$A$2:$A$201,B41)&lt;&gt;1,"案件ID无效",IF(AND(F41&lt;&gt;"A",F41&lt;&gt;"B",F41&lt;&gt;"C"),"标注角色无效","字段齐备")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9"/>
      <x:c r="N42" s="8"/>
      <x:c r="O42" s="10" t="str">
        <x:f>IF(COUNTA(A42:N42)=0,"",IF(OR(A42="",B42="",C42="",D42="",E42="",F42="",G42="",H42="",I42="",J42="",L42=""),"缺必填",IF(COUNTIF($A$2:$A$201,A42)&gt;1,"ID重复",IF(COUNTIF('案件'!$A$2:$A$201,B42)&lt;&gt;1,"案件ID无效",IF(AND(F42&lt;&gt;"A",F42&lt;&gt;"B",F42&lt;&gt;"C"),"标注角色无效","字段齐备")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9"/>
      <x:c r="N43" s="8"/>
      <x:c r="O43" s="10" t="str">
        <x:f>IF(COUNTA(A43:N43)=0,"",IF(OR(A43="",B43="",C43="",D43="",E43="",F43="",G43="",H43="",I43="",J43="",L43=""),"缺必填",IF(COUNTIF($A$2:$A$201,A43)&gt;1,"ID重复",IF(COUNTIF('案件'!$A$2:$A$201,B43)&lt;&gt;1,"案件ID无效",IF(AND(F43&lt;&gt;"A",F43&lt;&gt;"B",F43&lt;&gt;"C"),"标注角色无效","字段齐备")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9"/>
      <x:c r="N44" s="8"/>
      <x:c r="O44" s="10" t="str">
        <x:f>IF(COUNTA(A44:N44)=0,"",IF(OR(A44="",B44="",C44="",D44="",E44="",F44="",G44="",H44="",I44="",J44="",L44=""),"缺必填",IF(COUNTIF($A$2:$A$201,A44)&gt;1,"ID重复",IF(COUNTIF('案件'!$A$2:$A$201,B44)&lt;&gt;1,"案件ID无效",IF(AND(F44&lt;&gt;"A",F44&lt;&gt;"B",F44&lt;&gt;"C"),"标注角色无效","字段齐备")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9"/>
      <x:c r="N45" s="8"/>
      <x:c r="O45" s="10" t="str">
        <x:f>IF(COUNTA(A45:N45)=0,"",IF(OR(A45="",B45="",C45="",D45="",E45="",F45="",G45="",H45="",I45="",J45="",L45=""),"缺必填",IF(COUNTIF($A$2:$A$201,A45)&gt;1,"ID重复",IF(COUNTIF('案件'!$A$2:$A$201,B45)&lt;&gt;1,"案件ID无效",IF(AND(F45&lt;&gt;"A",F45&lt;&gt;"B",F45&lt;&gt;"C"),"标注角色无效","字段齐备")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9"/>
      <x:c r="N46" s="8"/>
      <x:c r="O46" s="10" t="str">
        <x:f>IF(COUNTA(A46:N46)=0,"",IF(OR(A46="",B46="",C46="",D46="",E46="",F46="",G46="",H46="",I46="",J46="",L46=""),"缺必填",IF(COUNTIF($A$2:$A$201,A46)&gt;1,"ID重复",IF(COUNTIF('案件'!$A$2:$A$201,B46)&lt;&gt;1,"案件ID无效",IF(AND(F46&lt;&gt;"A",F46&lt;&gt;"B",F46&lt;&gt;"C"),"标注角色无效","字段齐备")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9"/>
      <x:c r="N47" s="8"/>
      <x:c r="O47" s="10" t="str">
        <x:f>IF(COUNTA(A47:N47)=0,"",IF(OR(A47="",B47="",C47="",D47="",E47="",F47="",G47="",H47="",I47="",J47="",L47=""),"缺必填",IF(COUNTIF($A$2:$A$201,A47)&gt;1,"ID重复",IF(COUNTIF('案件'!$A$2:$A$201,B47)&lt;&gt;1,"案件ID无效",IF(AND(F47&lt;&gt;"A",F47&lt;&gt;"B",F47&lt;&gt;"C"),"标注角色无效","字段齐备")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9"/>
      <x:c r="N48" s="8"/>
      <x:c r="O48" s="10" t="str">
        <x:f>IF(COUNTA(A48:N48)=0,"",IF(OR(A48="",B48="",C48="",D48="",E48="",F48="",G48="",H48="",I48="",J48="",L48=""),"缺必填",IF(COUNTIF($A$2:$A$201,A48)&gt;1,"ID重复",IF(COUNTIF('案件'!$A$2:$A$201,B48)&lt;&gt;1,"案件ID无效",IF(AND(F48&lt;&gt;"A",F48&lt;&gt;"B",F48&lt;&gt;"C"),"标注角色无效","字段齐备")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9"/>
      <x:c r="N49" s="8"/>
      <x:c r="O49" s="10" t="str">
        <x:f>IF(COUNTA(A49:N49)=0,"",IF(OR(A49="",B49="",C49="",D49="",E49="",F49="",G49="",H49="",I49="",J49="",L49=""),"缺必填",IF(COUNTIF($A$2:$A$201,A49)&gt;1,"ID重复",IF(COUNTIF('案件'!$A$2:$A$201,B49)&lt;&gt;1,"案件ID无效",IF(AND(F49&lt;&gt;"A",F49&lt;&gt;"B",F49&lt;&gt;"C"),"标注角色无效","字段齐备")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9"/>
      <x:c r="N50" s="8"/>
      <x:c r="O50" s="10" t="str">
        <x:f>IF(COUNTA(A50:N50)=0,"",IF(OR(A50="",B50="",C50="",D50="",E50="",F50="",G50="",H50="",I50="",J50="",L50=""),"缺必填",IF(COUNTIF($A$2:$A$201,A50)&gt;1,"ID重复",IF(COUNTIF('案件'!$A$2:$A$201,B50)&lt;&gt;1,"案件ID无效",IF(AND(F50&lt;&gt;"A",F50&lt;&gt;"B",F50&lt;&gt;"C"),"标注角色无效","字段齐备")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9"/>
      <x:c r="N51" s="8"/>
      <x:c r="O51" s="10" t="str">
        <x:f>IF(COUNTA(A51:N51)=0,"",IF(OR(A51="",B51="",C51="",D51="",E51="",F51="",G51="",H51="",I51="",J51="",L51=""),"缺必填",IF(COUNTIF($A$2:$A$201,A51)&gt;1,"ID重复",IF(COUNTIF('案件'!$A$2:$A$201,B51)&lt;&gt;1,"案件ID无效",IF(AND(F51&lt;&gt;"A",F51&lt;&gt;"B",F51&lt;&gt;"C"),"标注角色无效","字段齐备")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9"/>
      <x:c r="N52" s="8"/>
      <x:c r="O52" s="10" t="str">
        <x:f>IF(COUNTA(A52:N52)=0,"",IF(OR(A52="",B52="",C52="",D52="",E52="",F52="",G52="",H52="",I52="",J52="",L52=""),"缺必填",IF(COUNTIF($A$2:$A$201,A52)&gt;1,"ID重复",IF(COUNTIF('案件'!$A$2:$A$201,B52)&lt;&gt;1,"案件ID无效",IF(AND(F52&lt;&gt;"A",F52&lt;&gt;"B",F52&lt;&gt;"C"),"标注角色无效","字段齐备")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9"/>
      <x:c r="N53" s="8"/>
      <x:c r="O53" s="10" t="str">
        <x:f>IF(COUNTA(A53:N53)=0,"",IF(OR(A53="",B53="",C53="",D53="",E53="",F53="",G53="",H53="",I53="",J53="",L53=""),"缺必填",IF(COUNTIF($A$2:$A$201,A53)&gt;1,"ID重复",IF(COUNTIF('案件'!$A$2:$A$201,B53)&lt;&gt;1,"案件ID无效",IF(AND(F53&lt;&gt;"A",F53&lt;&gt;"B",F53&lt;&gt;"C"),"标注角色无效","字段齐备")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9"/>
      <x:c r="N54" s="8"/>
      <x:c r="O54" s="10" t="str">
        <x:f>IF(COUNTA(A54:N54)=0,"",IF(OR(A54="",B54="",C54="",D54="",E54="",F54="",G54="",H54="",I54="",J54="",L54=""),"缺必填",IF(COUNTIF($A$2:$A$201,A54)&gt;1,"ID重复",IF(COUNTIF('案件'!$A$2:$A$201,B54)&lt;&gt;1,"案件ID无效",IF(AND(F54&lt;&gt;"A",F54&lt;&gt;"B",F54&lt;&gt;"C"),"标注角色无效","字段齐备")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9"/>
      <x:c r="N55" s="8"/>
      <x:c r="O55" s="10" t="str">
        <x:f>IF(COUNTA(A55:N55)=0,"",IF(OR(A55="",B55="",C55="",D55="",E55="",F55="",G55="",H55="",I55="",J55="",L55=""),"缺必填",IF(COUNTIF($A$2:$A$201,A55)&gt;1,"ID重复",IF(COUNTIF('案件'!$A$2:$A$201,B55)&lt;&gt;1,"案件ID无效",IF(AND(F55&lt;&gt;"A",F55&lt;&gt;"B",F55&lt;&gt;"C"),"标注角色无效","字段齐备")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9"/>
      <x:c r="N56" s="8"/>
      <x:c r="O56" s="10" t="str">
        <x:f>IF(COUNTA(A56:N56)=0,"",IF(OR(A56="",B56="",C56="",D56="",E56="",F56="",G56="",H56="",I56="",J56="",L56=""),"缺必填",IF(COUNTIF($A$2:$A$201,A56)&gt;1,"ID重复",IF(COUNTIF('案件'!$A$2:$A$201,B56)&lt;&gt;1,"案件ID无效",IF(AND(F56&lt;&gt;"A",F56&lt;&gt;"B",F56&lt;&gt;"C"),"标注角色无效","字段齐备")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9"/>
      <x:c r="N57" s="8"/>
      <x:c r="O57" s="10" t="str">
        <x:f>IF(COUNTA(A57:N57)=0,"",IF(OR(A57="",B57="",C57="",D57="",E57="",F57="",G57="",H57="",I57="",J57="",L57=""),"缺必填",IF(COUNTIF($A$2:$A$201,A57)&gt;1,"ID重复",IF(COUNTIF('案件'!$A$2:$A$201,B57)&lt;&gt;1,"案件ID无效",IF(AND(F57&lt;&gt;"A",F57&lt;&gt;"B",F57&lt;&gt;"C"),"标注角色无效","字段齐备")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9"/>
      <x:c r="N58" s="8"/>
      <x:c r="O58" s="10" t="str">
        <x:f>IF(COUNTA(A58:N58)=0,"",IF(OR(A58="",B58="",C58="",D58="",E58="",F58="",G58="",H58="",I58="",J58="",L58=""),"缺必填",IF(COUNTIF($A$2:$A$201,A58)&gt;1,"ID重复",IF(COUNTIF('案件'!$A$2:$A$201,B58)&lt;&gt;1,"案件ID无效",IF(AND(F58&lt;&gt;"A",F58&lt;&gt;"B",F58&lt;&gt;"C"),"标注角色无效","字段齐备")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9"/>
      <x:c r="N59" s="8"/>
      <x:c r="O59" s="10" t="str">
        <x:f>IF(COUNTA(A59:N59)=0,"",IF(OR(A59="",B59="",C59="",D59="",E59="",F59="",G59="",H59="",I59="",J59="",L59=""),"缺必填",IF(COUNTIF($A$2:$A$201,A59)&gt;1,"ID重复",IF(COUNTIF('案件'!$A$2:$A$201,B59)&lt;&gt;1,"案件ID无效",IF(AND(F59&lt;&gt;"A",F59&lt;&gt;"B",F59&lt;&gt;"C"),"标注角色无效","字段齐备")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9"/>
      <x:c r="N60" s="8"/>
      <x:c r="O60" s="10" t="str">
        <x:f>IF(COUNTA(A60:N60)=0,"",IF(OR(A60="",B60="",C60="",D60="",E60="",F60="",G60="",H60="",I60="",J60="",L60=""),"缺必填",IF(COUNTIF($A$2:$A$201,A60)&gt;1,"ID重复",IF(COUNTIF('案件'!$A$2:$A$201,B60)&lt;&gt;1,"案件ID无效",IF(AND(F60&lt;&gt;"A",F60&lt;&gt;"B",F60&lt;&gt;"C"),"标注角色无效","字段齐备")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9"/>
      <x:c r="N61" s="8"/>
      <x:c r="O61" s="10" t="str">
        <x:f>IF(COUNTA(A61:N61)=0,"",IF(OR(A61="",B61="",C61="",D61="",E61="",F61="",G61="",H61="",I61="",J61="",L61=""),"缺必填",IF(COUNTIF($A$2:$A$201,A61)&gt;1,"ID重复",IF(COUNTIF('案件'!$A$2:$A$201,B61)&lt;&gt;1,"案件ID无效",IF(AND(F61&lt;&gt;"A",F61&lt;&gt;"B",F61&lt;&gt;"C"),"标注角色无效","字段齐备")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9"/>
      <x:c r="N62" s="8"/>
      <x:c r="O62" s="10" t="str">
        <x:f>IF(COUNTA(A62:N62)=0,"",IF(OR(A62="",B62="",C62="",D62="",E62="",F62="",G62="",H62="",I62="",J62="",L62=""),"缺必填",IF(COUNTIF($A$2:$A$201,A62)&gt;1,"ID重复",IF(COUNTIF('案件'!$A$2:$A$201,B62)&lt;&gt;1,"案件ID无效",IF(AND(F62&lt;&gt;"A",F62&lt;&gt;"B",F62&lt;&gt;"C"),"标注角色无效","字段齐备")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9"/>
      <x:c r="N63" s="8"/>
      <x:c r="O63" s="10" t="str">
        <x:f>IF(COUNTA(A63:N63)=0,"",IF(OR(A63="",B63="",C63="",D63="",E63="",F63="",G63="",H63="",I63="",J63="",L63=""),"缺必填",IF(COUNTIF($A$2:$A$201,A63)&gt;1,"ID重复",IF(COUNTIF('案件'!$A$2:$A$201,B63)&lt;&gt;1,"案件ID无效",IF(AND(F63&lt;&gt;"A",F63&lt;&gt;"B",F63&lt;&gt;"C"),"标注角色无效","字段齐备")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9"/>
      <x:c r="N64" s="8"/>
      <x:c r="O64" s="10" t="str">
        <x:f>IF(COUNTA(A64:N64)=0,"",IF(OR(A64="",B64="",C64="",D64="",E64="",F64="",G64="",H64="",I64="",J64="",L64=""),"缺必填",IF(COUNTIF($A$2:$A$201,A64)&gt;1,"ID重复",IF(COUNTIF('案件'!$A$2:$A$201,B64)&lt;&gt;1,"案件ID无效",IF(AND(F64&lt;&gt;"A",F64&lt;&gt;"B",F64&lt;&gt;"C"),"标注角色无效","字段齐备")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9"/>
      <x:c r="N65" s="8"/>
      <x:c r="O65" s="10" t="str">
        <x:f>IF(COUNTA(A65:N65)=0,"",IF(OR(A65="",B65="",C65="",D65="",E65="",F65="",G65="",H65="",I65="",J65="",L65=""),"缺必填",IF(COUNTIF($A$2:$A$201,A65)&gt;1,"ID重复",IF(COUNTIF('案件'!$A$2:$A$201,B65)&lt;&gt;1,"案件ID无效",IF(AND(F65&lt;&gt;"A",F65&lt;&gt;"B",F65&lt;&gt;"C"),"标注角色无效","字段齐备")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9"/>
      <x:c r="N66" s="8"/>
      <x:c r="O66" s="10" t="str">
        <x:f>IF(COUNTA(A66:N66)=0,"",IF(OR(A66="",B66="",C66="",D66="",E66="",F66="",G66="",H66="",I66="",J66="",L66=""),"缺必填",IF(COUNTIF($A$2:$A$201,A66)&gt;1,"ID重复",IF(COUNTIF('案件'!$A$2:$A$201,B66)&lt;&gt;1,"案件ID无效",IF(AND(F66&lt;&gt;"A",F66&lt;&gt;"B",F66&lt;&gt;"C"),"标注角色无效","字段齐备")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9"/>
      <x:c r="N67" s="8"/>
      <x:c r="O67" s="10" t="str">
        <x:f>IF(COUNTA(A67:N67)=0,"",IF(OR(A67="",B67="",C67="",D67="",E67="",F67="",G67="",H67="",I67="",J67="",L67=""),"缺必填",IF(COUNTIF($A$2:$A$201,A67)&gt;1,"ID重复",IF(COUNTIF('案件'!$A$2:$A$201,B67)&lt;&gt;1,"案件ID无效",IF(AND(F67&lt;&gt;"A",F67&lt;&gt;"B",F67&lt;&gt;"C"),"标注角色无效","字段齐备")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9"/>
      <x:c r="N68" s="8"/>
      <x:c r="O68" s="10" t="str">
        <x:f>IF(COUNTA(A68:N68)=0,"",IF(OR(A68="",B68="",C68="",D68="",E68="",F68="",G68="",H68="",I68="",J68="",L68=""),"缺必填",IF(COUNTIF($A$2:$A$201,A68)&gt;1,"ID重复",IF(COUNTIF('案件'!$A$2:$A$201,B68)&lt;&gt;1,"案件ID无效",IF(AND(F68&lt;&gt;"A",F68&lt;&gt;"B",F68&lt;&gt;"C"),"标注角色无效","字段齐备")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9"/>
      <x:c r="N69" s="8"/>
      <x:c r="O69" s="10" t="str">
        <x:f>IF(COUNTA(A69:N69)=0,"",IF(OR(A69="",B69="",C69="",D69="",E69="",F69="",G69="",H69="",I69="",J69="",L69=""),"缺必填",IF(COUNTIF($A$2:$A$201,A69)&gt;1,"ID重复",IF(COUNTIF('案件'!$A$2:$A$201,B69)&lt;&gt;1,"案件ID无效",IF(AND(F69&lt;&gt;"A",F69&lt;&gt;"B",F69&lt;&gt;"C"),"标注角色无效","字段齐备")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9"/>
      <x:c r="N70" s="8"/>
      <x:c r="O70" s="10" t="str">
        <x:f>IF(COUNTA(A70:N70)=0,"",IF(OR(A70="",B70="",C70="",D70="",E70="",F70="",G70="",H70="",I70="",J70="",L70=""),"缺必填",IF(COUNTIF($A$2:$A$201,A70)&gt;1,"ID重复",IF(COUNTIF('案件'!$A$2:$A$201,B70)&lt;&gt;1,"案件ID无效",IF(AND(F70&lt;&gt;"A",F70&lt;&gt;"B",F70&lt;&gt;"C"),"标注角色无效","字段齐备")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9"/>
      <x:c r="N71" s="8"/>
      <x:c r="O71" s="10" t="str">
        <x:f>IF(COUNTA(A71:N71)=0,"",IF(OR(A71="",B71="",C71="",D71="",E71="",F71="",G71="",H71="",I71="",J71="",L71=""),"缺必填",IF(COUNTIF($A$2:$A$201,A71)&gt;1,"ID重复",IF(COUNTIF('案件'!$A$2:$A$201,B71)&lt;&gt;1,"案件ID无效",IF(AND(F71&lt;&gt;"A",F71&lt;&gt;"B",F71&lt;&gt;"C"),"标注角色无效","字段齐备")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9"/>
      <x:c r="N72" s="8"/>
      <x:c r="O72" s="10" t="str">
        <x:f>IF(COUNTA(A72:N72)=0,"",IF(OR(A72="",B72="",C72="",D72="",E72="",F72="",G72="",H72="",I72="",J72="",L72=""),"缺必填",IF(COUNTIF($A$2:$A$201,A72)&gt;1,"ID重复",IF(COUNTIF('案件'!$A$2:$A$201,B72)&lt;&gt;1,"案件ID无效",IF(AND(F72&lt;&gt;"A",F72&lt;&gt;"B",F72&lt;&gt;"C"),"标注角色无效","字段齐备")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9"/>
      <x:c r="N73" s="8"/>
      <x:c r="O73" s="10" t="str">
        <x:f>IF(COUNTA(A73:N73)=0,"",IF(OR(A73="",B73="",C73="",D73="",E73="",F73="",G73="",H73="",I73="",J73="",L73=""),"缺必填",IF(COUNTIF($A$2:$A$201,A73)&gt;1,"ID重复",IF(COUNTIF('案件'!$A$2:$A$201,B73)&lt;&gt;1,"案件ID无效",IF(AND(F73&lt;&gt;"A",F73&lt;&gt;"B",F73&lt;&gt;"C"),"标注角色无效","字段齐备")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9"/>
      <x:c r="N74" s="8"/>
      <x:c r="O74" s="10" t="str">
        <x:f>IF(COUNTA(A74:N74)=0,"",IF(OR(A74="",B74="",C74="",D74="",E74="",F74="",G74="",H74="",I74="",J74="",L74=""),"缺必填",IF(COUNTIF($A$2:$A$201,A74)&gt;1,"ID重复",IF(COUNTIF('案件'!$A$2:$A$201,B74)&lt;&gt;1,"案件ID无效",IF(AND(F74&lt;&gt;"A",F74&lt;&gt;"B",F74&lt;&gt;"C"),"标注角色无效","字段齐备")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9"/>
      <x:c r="N75" s="8"/>
      <x:c r="O75" s="10" t="str">
        <x:f>IF(COUNTA(A75:N75)=0,"",IF(OR(A75="",B75="",C75="",D75="",E75="",F75="",G75="",H75="",I75="",J75="",L75=""),"缺必填",IF(COUNTIF($A$2:$A$201,A75)&gt;1,"ID重复",IF(COUNTIF('案件'!$A$2:$A$201,B75)&lt;&gt;1,"案件ID无效",IF(AND(F75&lt;&gt;"A",F75&lt;&gt;"B",F75&lt;&gt;"C"),"标注角色无效","字段齐备")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9"/>
      <x:c r="N76" s="8"/>
      <x:c r="O76" s="10" t="str">
        <x:f>IF(COUNTA(A76:N76)=0,"",IF(OR(A76="",B76="",C76="",D76="",E76="",F76="",G76="",H76="",I76="",J76="",L76=""),"缺必填",IF(COUNTIF($A$2:$A$201,A76)&gt;1,"ID重复",IF(COUNTIF('案件'!$A$2:$A$201,B76)&lt;&gt;1,"案件ID无效",IF(AND(F76&lt;&gt;"A",F76&lt;&gt;"B",F76&lt;&gt;"C"),"标注角色无效","字段齐备")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9"/>
      <x:c r="N77" s="8"/>
      <x:c r="O77" s="10" t="str">
        <x:f>IF(COUNTA(A77:N77)=0,"",IF(OR(A77="",B77="",C77="",D77="",E77="",F77="",G77="",H77="",I77="",J77="",L77=""),"缺必填",IF(COUNTIF($A$2:$A$201,A77)&gt;1,"ID重复",IF(COUNTIF('案件'!$A$2:$A$201,B77)&lt;&gt;1,"案件ID无效",IF(AND(F77&lt;&gt;"A",F77&lt;&gt;"B",F77&lt;&gt;"C"),"标注角色无效","字段齐备")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9"/>
      <x:c r="N78" s="8"/>
      <x:c r="O78" s="10" t="str">
        <x:f>IF(COUNTA(A78:N78)=0,"",IF(OR(A78="",B78="",C78="",D78="",E78="",F78="",G78="",H78="",I78="",J78="",L78=""),"缺必填",IF(COUNTIF($A$2:$A$201,A78)&gt;1,"ID重复",IF(COUNTIF('案件'!$A$2:$A$201,B78)&lt;&gt;1,"案件ID无效",IF(AND(F78&lt;&gt;"A",F78&lt;&gt;"B",F78&lt;&gt;"C"),"标注角色无效","字段齐备")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9"/>
      <x:c r="N79" s="8"/>
      <x:c r="O79" s="10" t="str">
        <x:f>IF(COUNTA(A79:N79)=0,"",IF(OR(A79="",B79="",C79="",D79="",E79="",F79="",G79="",H79="",I79="",J79="",L79=""),"缺必填",IF(COUNTIF($A$2:$A$201,A79)&gt;1,"ID重复",IF(COUNTIF('案件'!$A$2:$A$201,B79)&lt;&gt;1,"案件ID无效",IF(AND(F79&lt;&gt;"A",F79&lt;&gt;"B",F79&lt;&gt;"C"),"标注角色无效","字段齐备")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9"/>
      <x:c r="N80" s="8"/>
      <x:c r="O80" s="10" t="str">
        <x:f>IF(COUNTA(A80:N80)=0,"",IF(OR(A80="",B80="",C80="",D80="",E80="",F80="",G80="",H80="",I80="",J80="",L80=""),"缺必填",IF(COUNTIF($A$2:$A$201,A80)&gt;1,"ID重复",IF(COUNTIF('案件'!$A$2:$A$201,B80)&lt;&gt;1,"案件ID无效",IF(AND(F80&lt;&gt;"A",F80&lt;&gt;"B",F80&lt;&gt;"C"),"标注角色无效","字段齐备")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9"/>
      <x:c r="N81" s="8"/>
      <x:c r="O81" s="10" t="str">
        <x:f>IF(COUNTA(A81:N81)=0,"",IF(OR(A81="",B81="",C81="",D81="",E81="",F81="",G81="",H81="",I81="",J81="",L81=""),"缺必填",IF(COUNTIF($A$2:$A$201,A81)&gt;1,"ID重复",IF(COUNTIF('案件'!$A$2:$A$201,B81)&lt;&gt;1,"案件ID无效",IF(AND(F81&lt;&gt;"A",F81&lt;&gt;"B",F81&lt;&gt;"C"),"标注角色无效","字段齐备")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9"/>
      <x:c r="N82" s="8"/>
      <x:c r="O82" s="10" t="str">
        <x:f>IF(COUNTA(A82:N82)=0,"",IF(OR(A82="",B82="",C82="",D82="",E82="",F82="",G82="",H82="",I82="",J82="",L82=""),"缺必填",IF(COUNTIF($A$2:$A$201,A82)&gt;1,"ID重复",IF(COUNTIF('案件'!$A$2:$A$201,B82)&lt;&gt;1,"案件ID无效",IF(AND(F82&lt;&gt;"A",F82&lt;&gt;"B",F82&lt;&gt;"C"),"标注角色无效","字段齐备")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9"/>
      <x:c r="N83" s="8"/>
      <x:c r="O83" s="10" t="str">
        <x:f>IF(COUNTA(A83:N83)=0,"",IF(OR(A83="",B83="",C83="",D83="",E83="",F83="",G83="",H83="",I83="",J83="",L83=""),"缺必填",IF(COUNTIF($A$2:$A$201,A83)&gt;1,"ID重复",IF(COUNTIF('案件'!$A$2:$A$201,B83)&lt;&gt;1,"案件ID无效",IF(AND(F83&lt;&gt;"A",F83&lt;&gt;"B",F83&lt;&gt;"C"),"标注角色无效","字段齐备")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9"/>
      <x:c r="N84" s="8"/>
      <x:c r="O84" s="10" t="str">
        <x:f>IF(COUNTA(A84:N84)=0,"",IF(OR(A84="",B84="",C84="",D84="",E84="",F84="",G84="",H84="",I84="",J84="",L84=""),"缺必填",IF(COUNTIF($A$2:$A$201,A84)&gt;1,"ID重复",IF(COUNTIF('案件'!$A$2:$A$201,B84)&lt;&gt;1,"案件ID无效",IF(AND(F84&lt;&gt;"A",F84&lt;&gt;"B",F84&lt;&gt;"C"),"标注角色无效","字段齐备")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9"/>
      <x:c r="N85" s="8"/>
      <x:c r="O85" s="10" t="str">
        <x:f>IF(COUNTA(A85:N85)=0,"",IF(OR(A85="",B85="",C85="",D85="",E85="",F85="",G85="",H85="",I85="",J85="",L85=""),"缺必填",IF(COUNTIF($A$2:$A$201,A85)&gt;1,"ID重复",IF(COUNTIF('案件'!$A$2:$A$201,B85)&lt;&gt;1,"案件ID无效",IF(AND(F85&lt;&gt;"A",F85&lt;&gt;"B",F85&lt;&gt;"C"),"标注角色无效","字段齐备")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9"/>
      <x:c r="N86" s="8"/>
      <x:c r="O86" s="10" t="str">
        <x:f>IF(COUNTA(A86:N86)=0,"",IF(OR(A86="",B86="",C86="",D86="",E86="",F86="",G86="",H86="",I86="",J86="",L86=""),"缺必填",IF(COUNTIF($A$2:$A$201,A86)&gt;1,"ID重复",IF(COUNTIF('案件'!$A$2:$A$201,B86)&lt;&gt;1,"案件ID无效",IF(AND(F86&lt;&gt;"A",F86&lt;&gt;"B",F86&lt;&gt;"C"),"标注角色无效","字段齐备")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9"/>
      <x:c r="N87" s="8"/>
      <x:c r="O87" s="10" t="str">
        <x:f>IF(COUNTA(A87:N87)=0,"",IF(OR(A87="",B87="",C87="",D87="",E87="",F87="",G87="",H87="",I87="",J87="",L87=""),"缺必填",IF(COUNTIF($A$2:$A$201,A87)&gt;1,"ID重复",IF(COUNTIF('案件'!$A$2:$A$201,B87)&lt;&gt;1,"案件ID无效",IF(AND(F87&lt;&gt;"A",F87&lt;&gt;"B",F87&lt;&gt;"C"),"标注角色无效","字段齐备")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9"/>
      <x:c r="N88" s="8"/>
      <x:c r="O88" s="10" t="str">
        <x:f>IF(COUNTA(A88:N88)=0,"",IF(OR(A88="",B88="",C88="",D88="",E88="",F88="",G88="",H88="",I88="",J88="",L88=""),"缺必填",IF(COUNTIF($A$2:$A$201,A88)&gt;1,"ID重复",IF(COUNTIF('案件'!$A$2:$A$201,B88)&lt;&gt;1,"案件ID无效",IF(AND(F88&lt;&gt;"A",F88&lt;&gt;"B",F88&lt;&gt;"C"),"标注角色无效","字段齐备")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9"/>
      <x:c r="N89" s="8"/>
      <x:c r="O89" s="10" t="str">
        <x:f>IF(COUNTA(A89:N89)=0,"",IF(OR(A89="",B89="",C89="",D89="",E89="",F89="",G89="",H89="",I89="",J89="",L89=""),"缺必填",IF(COUNTIF($A$2:$A$201,A89)&gt;1,"ID重复",IF(COUNTIF('案件'!$A$2:$A$201,B89)&lt;&gt;1,"案件ID无效",IF(AND(F89&lt;&gt;"A",F89&lt;&gt;"B",F89&lt;&gt;"C"),"标注角色无效","字段齐备")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9"/>
      <x:c r="N90" s="8"/>
      <x:c r="O90" s="10" t="str">
        <x:f>IF(COUNTA(A90:N90)=0,"",IF(OR(A90="",B90="",C90="",D90="",E90="",F90="",G90="",H90="",I90="",J90="",L90=""),"缺必填",IF(COUNTIF($A$2:$A$201,A90)&gt;1,"ID重复",IF(COUNTIF('案件'!$A$2:$A$201,B90)&lt;&gt;1,"案件ID无效",IF(AND(F90&lt;&gt;"A",F90&lt;&gt;"B",F90&lt;&gt;"C"),"标注角色无效","字段齐备")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9"/>
      <x:c r="N91" s="8"/>
      <x:c r="O91" s="10" t="str">
        <x:f>IF(COUNTA(A91:N91)=0,"",IF(OR(A91="",B91="",C91="",D91="",E91="",F91="",G91="",H91="",I91="",J91="",L91=""),"缺必填",IF(COUNTIF($A$2:$A$201,A91)&gt;1,"ID重复",IF(COUNTIF('案件'!$A$2:$A$201,B91)&lt;&gt;1,"案件ID无效",IF(AND(F91&lt;&gt;"A",F91&lt;&gt;"B",F91&lt;&gt;"C"),"标注角色无效","字段齐备")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9"/>
      <x:c r="N92" s="8"/>
      <x:c r="O92" s="10" t="str">
        <x:f>IF(COUNTA(A92:N92)=0,"",IF(OR(A92="",B92="",C92="",D92="",E92="",F92="",G92="",H92="",I92="",J92="",L92=""),"缺必填",IF(COUNTIF($A$2:$A$201,A92)&gt;1,"ID重复",IF(COUNTIF('案件'!$A$2:$A$201,B92)&lt;&gt;1,"案件ID无效",IF(AND(F92&lt;&gt;"A",F92&lt;&gt;"B",F92&lt;&gt;"C"),"标注角色无效","字段齐备")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9"/>
      <x:c r="N93" s="8"/>
      <x:c r="O93" s="10" t="str">
        <x:f>IF(COUNTA(A93:N93)=0,"",IF(OR(A93="",B93="",C93="",D93="",E93="",F93="",G93="",H93="",I93="",J93="",L93=""),"缺必填",IF(COUNTIF($A$2:$A$201,A93)&gt;1,"ID重复",IF(COUNTIF('案件'!$A$2:$A$201,B93)&lt;&gt;1,"案件ID无效",IF(AND(F93&lt;&gt;"A",F93&lt;&gt;"B",F93&lt;&gt;"C"),"标注角色无效","字段齐备")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9"/>
      <x:c r="N94" s="8"/>
      <x:c r="O94" s="10" t="str">
        <x:f>IF(COUNTA(A94:N94)=0,"",IF(OR(A94="",B94="",C94="",D94="",E94="",F94="",G94="",H94="",I94="",J94="",L94=""),"缺必填",IF(COUNTIF($A$2:$A$201,A94)&gt;1,"ID重复",IF(COUNTIF('案件'!$A$2:$A$201,B94)&lt;&gt;1,"案件ID无效",IF(AND(F94&lt;&gt;"A",F94&lt;&gt;"B",F94&lt;&gt;"C"),"标注角色无效","字段齐备")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9"/>
      <x:c r="N95" s="8"/>
      <x:c r="O95" s="10" t="str">
        <x:f>IF(COUNTA(A95:N95)=0,"",IF(OR(A95="",B95="",C95="",D95="",E95="",F95="",G95="",H95="",I95="",J95="",L95=""),"缺必填",IF(COUNTIF($A$2:$A$201,A95)&gt;1,"ID重复",IF(COUNTIF('案件'!$A$2:$A$201,B95)&lt;&gt;1,"案件ID无效",IF(AND(F95&lt;&gt;"A",F95&lt;&gt;"B",F95&lt;&gt;"C"),"标注角色无效","字段齐备")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9"/>
      <x:c r="N96" s="8"/>
      <x:c r="O96" s="10" t="str">
        <x:f>IF(COUNTA(A96:N96)=0,"",IF(OR(A96="",B96="",C96="",D96="",E96="",F96="",G96="",H96="",I96="",J96="",L96=""),"缺必填",IF(COUNTIF($A$2:$A$201,A96)&gt;1,"ID重复",IF(COUNTIF('案件'!$A$2:$A$201,B96)&lt;&gt;1,"案件ID无效",IF(AND(F96&lt;&gt;"A",F96&lt;&gt;"B",F96&lt;&gt;"C"),"标注角色无效","字段齐备")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9"/>
      <x:c r="N97" s="8"/>
      <x:c r="O97" s="10" t="str">
        <x:f>IF(COUNTA(A97:N97)=0,"",IF(OR(A97="",B97="",C97="",D97="",E97="",F97="",G97="",H97="",I97="",J97="",L97=""),"缺必填",IF(COUNTIF($A$2:$A$201,A97)&gt;1,"ID重复",IF(COUNTIF('案件'!$A$2:$A$201,B97)&lt;&gt;1,"案件ID无效",IF(AND(F97&lt;&gt;"A",F97&lt;&gt;"B",F97&lt;&gt;"C"),"标注角色无效","字段齐备")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9"/>
      <x:c r="N98" s="8"/>
      <x:c r="O98" s="10" t="str">
        <x:f>IF(COUNTA(A98:N98)=0,"",IF(OR(A98="",B98="",C98="",D98="",E98="",F98="",G98="",H98="",I98="",J98="",L98=""),"缺必填",IF(COUNTIF($A$2:$A$201,A98)&gt;1,"ID重复",IF(COUNTIF('案件'!$A$2:$A$201,B98)&lt;&gt;1,"案件ID无效",IF(AND(F98&lt;&gt;"A",F98&lt;&gt;"B",F98&lt;&gt;"C"),"标注角色无效","字段齐备")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9"/>
      <x:c r="N99" s="8"/>
      <x:c r="O99" s="10" t="str">
        <x:f>IF(COUNTA(A99:N99)=0,"",IF(OR(A99="",B99="",C99="",D99="",E99="",F99="",G99="",H99="",I99="",J99="",L99=""),"缺必填",IF(COUNTIF($A$2:$A$201,A99)&gt;1,"ID重复",IF(COUNTIF('案件'!$A$2:$A$201,B99)&lt;&gt;1,"案件ID无效",IF(AND(F99&lt;&gt;"A",F99&lt;&gt;"B",F99&lt;&gt;"C"),"标注角色无效","字段齐备")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9"/>
      <x:c r="N100" s="8"/>
      <x:c r="O100" s="10" t="str">
        <x:f>IF(COUNTA(A100:N100)=0,"",IF(OR(A100="",B100="",C100="",D100="",E100="",F100="",G100="",H100="",I100="",J100="",L100=""),"缺必填",IF(COUNTIF($A$2:$A$201,A100)&gt;1,"ID重复",IF(COUNTIF('案件'!$A$2:$A$201,B100)&lt;&gt;1,"案件ID无效",IF(AND(F100&lt;&gt;"A",F100&lt;&gt;"B",F100&lt;&gt;"C"),"标注角色无效","字段齐备")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9"/>
      <x:c r="N101" s="8"/>
      <x:c r="O101" s="10" t="str">
        <x:f>IF(COUNTA(A101:N101)=0,"",IF(OR(A101="",B101="",C101="",D101="",E101="",F101="",G101="",H101="",I101="",J101="",L101=""),"缺必填",IF(COUNTIF($A$2:$A$201,A101)&gt;1,"ID重复",IF(COUNTIF('案件'!$A$2:$A$201,B101)&lt;&gt;1,"案件ID无效",IF(AND(F101&lt;&gt;"A",F101&lt;&gt;"B",F101&lt;&gt;"C"),"标注角色无效","字段齐备")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9"/>
      <x:c r="N102" s="8"/>
      <x:c r="O102" s="10" t="str">
        <x:f>IF(COUNTA(A102:N102)=0,"",IF(OR(A102="",B102="",C102="",D102="",E102="",F102="",G102="",H102="",I102="",J102="",L102=""),"缺必填",IF(COUNTIF($A$2:$A$201,A102)&gt;1,"ID重复",IF(COUNTIF('案件'!$A$2:$A$201,B102)&lt;&gt;1,"案件ID无效",IF(AND(F102&lt;&gt;"A",F102&lt;&gt;"B",F102&lt;&gt;"C"),"标注角色无效","字段齐备")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9"/>
      <x:c r="N103" s="8"/>
      <x:c r="O103" s="10" t="str">
        <x:f>IF(COUNTA(A103:N103)=0,"",IF(OR(A103="",B103="",C103="",D103="",E103="",F103="",G103="",H103="",I103="",J103="",L103=""),"缺必填",IF(COUNTIF($A$2:$A$201,A103)&gt;1,"ID重复",IF(COUNTIF('案件'!$A$2:$A$201,B103)&lt;&gt;1,"案件ID无效",IF(AND(F103&lt;&gt;"A",F103&lt;&gt;"B",F103&lt;&gt;"C"),"标注角色无效","字段齐备")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9"/>
      <x:c r="N104" s="8"/>
      <x:c r="O104" s="10" t="str">
        <x:f>IF(COUNTA(A104:N104)=0,"",IF(OR(A104="",B104="",C104="",D104="",E104="",F104="",G104="",H104="",I104="",J104="",L104=""),"缺必填",IF(COUNTIF($A$2:$A$201,A104)&gt;1,"ID重复",IF(COUNTIF('案件'!$A$2:$A$201,B104)&lt;&gt;1,"案件ID无效",IF(AND(F104&lt;&gt;"A",F104&lt;&gt;"B",F104&lt;&gt;"C"),"标注角色无效","字段齐备")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9"/>
      <x:c r="N105" s="8"/>
      <x:c r="O105" s="10" t="str">
        <x:f>IF(COUNTA(A105:N105)=0,"",IF(OR(A105="",B105="",C105="",D105="",E105="",F105="",G105="",H105="",I105="",J105="",L105=""),"缺必填",IF(COUNTIF($A$2:$A$201,A105)&gt;1,"ID重复",IF(COUNTIF('案件'!$A$2:$A$201,B105)&lt;&gt;1,"案件ID无效",IF(AND(F105&lt;&gt;"A",F105&lt;&gt;"B",F105&lt;&gt;"C"),"标注角色无效","字段齐备")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9"/>
      <x:c r="N106" s="8"/>
      <x:c r="O106" s="10" t="str">
        <x:f>IF(COUNTA(A106:N106)=0,"",IF(OR(A106="",B106="",C106="",D106="",E106="",F106="",G106="",H106="",I106="",J106="",L106=""),"缺必填",IF(COUNTIF($A$2:$A$201,A106)&gt;1,"ID重复",IF(COUNTIF('案件'!$A$2:$A$201,B106)&lt;&gt;1,"案件ID无效",IF(AND(F106&lt;&gt;"A",F106&lt;&gt;"B",F106&lt;&gt;"C"),"标注角色无效","字段齐备")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9"/>
      <x:c r="N107" s="8"/>
      <x:c r="O107" s="10" t="str">
        <x:f>IF(COUNTA(A107:N107)=0,"",IF(OR(A107="",B107="",C107="",D107="",E107="",F107="",G107="",H107="",I107="",J107="",L107=""),"缺必填",IF(COUNTIF($A$2:$A$201,A107)&gt;1,"ID重复",IF(COUNTIF('案件'!$A$2:$A$201,B107)&lt;&gt;1,"案件ID无效",IF(AND(F107&lt;&gt;"A",F107&lt;&gt;"B",F107&lt;&gt;"C"),"标注角色无效","字段齐备")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9"/>
      <x:c r="N108" s="8"/>
      <x:c r="O108" s="10" t="str">
        <x:f>IF(COUNTA(A108:N108)=0,"",IF(OR(A108="",B108="",C108="",D108="",E108="",F108="",G108="",H108="",I108="",J108="",L108=""),"缺必填",IF(COUNTIF($A$2:$A$201,A108)&gt;1,"ID重复",IF(COUNTIF('案件'!$A$2:$A$201,B108)&lt;&gt;1,"案件ID无效",IF(AND(F108&lt;&gt;"A",F108&lt;&gt;"B",F108&lt;&gt;"C"),"标注角色无效","字段齐备")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9"/>
      <x:c r="N109" s="8"/>
      <x:c r="O109" s="10" t="str">
        <x:f>IF(COUNTA(A109:N109)=0,"",IF(OR(A109="",B109="",C109="",D109="",E109="",F109="",G109="",H109="",I109="",J109="",L109=""),"缺必填",IF(COUNTIF($A$2:$A$201,A109)&gt;1,"ID重复",IF(COUNTIF('案件'!$A$2:$A$201,B109)&lt;&gt;1,"案件ID无效",IF(AND(F109&lt;&gt;"A",F109&lt;&gt;"B",F109&lt;&gt;"C"),"标注角色无效","字段齐备")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9"/>
      <x:c r="N110" s="8"/>
      <x:c r="O110" s="10" t="str">
        <x:f>IF(COUNTA(A110:N110)=0,"",IF(OR(A110="",B110="",C110="",D110="",E110="",F110="",G110="",H110="",I110="",J110="",L110=""),"缺必填",IF(COUNTIF($A$2:$A$201,A110)&gt;1,"ID重复",IF(COUNTIF('案件'!$A$2:$A$201,B110)&lt;&gt;1,"案件ID无效",IF(AND(F110&lt;&gt;"A",F110&lt;&gt;"B",F110&lt;&gt;"C"),"标注角色无效","字段齐备")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9"/>
      <x:c r="N111" s="8"/>
      <x:c r="O111" s="10" t="str">
        <x:f>IF(COUNTA(A111:N111)=0,"",IF(OR(A111="",B111="",C111="",D111="",E111="",F111="",G111="",H111="",I111="",J111="",L111=""),"缺必填",IF(COUNTIF($A$2:$A$201,A111)&gt;1,"ID重复",IF(COUNTIF('案件'!$A$2:$A$201,B111)&lt;&gt;1,"案件ID无效",IF(AND(F111&lt;&gt;"A",F111&lt;&gt;"B",F111&lt;&gt;"C"),"标注角色无效","字段齐备")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9"/>
      <x:c r="N112" s="8"/>
      <x:c r="O112" s="10" t="str">
        <x:f>IF(COUNTA(A112:N112)=0,"",IF(OR(A112="",B112="",C112="",D112="",E112="",F112="",G112="",H112="",I112="",J112="",L112=""),"缺必填",IF(COUNTIF($A$2:$A$201,A112)&gt;1,"ID重复",IF(COUNTIF('案件'!$A$2:$A$201,B112)&lt;&gt;1,"案件ID无效",IF(AND(F112&lt;&gt;"A",F112&lt;&gt;"B",F112&lt;&gt;"C"),"标注角色无效","字段齐备")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9"/>
      <x:c r="N113" s="8"/>
      <x:c r="O113" s="10" t="str">
        <x:f>IF(COUNTA(A113:N113)=0,"",IF(OR(A113="",B113="",C113="",D113="",E113="",F113="",G113="",H113="",I113="",J113="",L113=""),"缺必填",IF(COUNTIF($A$2:$A$201,A113)&gt;1,"ID重复",IF(COUNTIF('案件'!$A$2:$A$201,B113)&lt;&gt;1,"案件ID无效",IF(AND(F113&lt;&gt;"A",F113&lt;&gt;"B",F113&lt;&gt;"C"),"标注角色无效","字段齐备")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9"/>
      <x:c r="N114" s="8"/>
      <x:c r="O114" s="10" t="str">
        <x:f>IF(COUNTA(A114:N114)=0,"",IF(OR(A114="",B114="",C114="",D114="",E114="",F114="",G114="",H114="",I114="",J114="",L114=""),"缺必填",IF(COUNTIF($A$2:$A$201,A114)&gt;1,"ID重复",IF(COUNTIF('案件'!$A$2:$A$201,B114)&lt;&gt;1,"案件ID无效",IF(AND(F114&lt;&gt;"A",F114&lt;&gt;"B",F114&lt;&gt;"C"),"标注角色无效","字段齐备")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9"/>
      <x:c r="N115" s="8"/>
      <x:c r="O115" s="10" t="str">
        <x:f>IF(COUNTA(A115:N115)=0,"",IF(OR(A115="",B115="",C115="",D115="",E115="",F115="",G115="",H115="",I115="",J115="",L115=""),"缺必填",IF(COUNTIF($A$2:$A$201,A115)&gt;1,"ID重复",IF(COUNTIF('案件'!$A$2:$A$201,B115)&lt;&gt;1,"案件ID无效",IF(AND(F115&lt;&gt;"A",F115&lt;&gt;"B",F115&lt;&gt;"C"),"标注角色无效","字段齐备")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9"/>
      <x:c r="N116" s="8"/>
      <x:c r="O116" s="10" t="str">
        <x:f>IF(COUNTA(A116:N116)=0,"",IF(OR(A116="",B116="",C116="",D116="",E116="",F116="",G116="",H116="",I116="",J116="",L116=""),"缺必填",IF(COUNTIF($A$2:$A$201,A116)&gt;1,"ID重复",IF(COUNTIF('案件'!$A$2:$A$201,B116)&lt;&gt;1,"案件ID无效",IF(AND(F116&lt;&gt;"A",F116&lt;&gt;"B",F116&lt;&gt;"C"),"标注角色无效","字段齐备")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9"/>
      <x:c r="N117" s="8"/>
      <x:c r="O117" s="10" t="str">
        <x:f>IF(COUNTA(A117:N117)=0,"",IF(OR(A117="",B117="",C117="",D117="",E117="",F117="",G117="",H117="",I117="",J117="",L117=""),"缺必填",IF(COUNTIF($A$2:$A$201,A117)&gt;1,"ID重复",IF(COUNTIF('案件'!$A$2:$A$201,B117)&lt;&gt;1,"案件ID无效",IF(AND(F117&lt;&gt;"A",F117&lt;&gt;"B",F117&lt;&gt;"C"),"标注角色无效","字段齐备")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9"/>
      <x:c r="N118" s="8"/>
      <x:c r="O118" s="10" t="str">
        <x:f>IF(COUNTA(A118:N118)=0,"",IF(OR(A118="",B118="",C118="",D118="",E118="",F118="",G118="",H118="",I118="",J118="",L118=""),"缺必填",IF(COUNTIF($A$2:$A$201,A118)&gt;1,"ID重复",IF(COUNTIF('案件'!$A$2:$A$201,B118)&lt;&gt;1,"案件ID无效",IF(AND(F118&lt;&gt;"A",F118&lt;&gt;"B",F118&lt;&gt;"C"),"标注角色无效","字段齐备")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9"/>
      <x:c r="N119" s="8"/>
      <x:c r="O119" s="10" t="str">
        <x:f>IF(COUNTA(A119:N119)=0,"",IF(OR(A119="",B119="",C119="",D119="",E119="",F119="",G119="",H119="",I119="",J119="",L119=""),"缺必填",IF(COUNTIF($A$2:$A$201,A119)&gt;1,"ID重复",IF(COUNTIF('案件'!$A$2:$A$201,B119)&lt;&gt;1,"案件ID无效",IF(AND(F119&lt;&gt;"A",F119&lt;&gt;"B",F119&lt;&gt;"C"),"标注角色无效","字段齐备")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9"/>
      <x:c r="N120" s="8"/>
      <x:c r="O120" s="10" t="str">
        <x:f>IF(COUNTA(A120:N120)=0,"",IF(OR(A120="",B120="",C120="",D120="",E120="",F120="",G120="",H120="",I120="",J120="",L120=""),"缺必填",IF(COUNTIF($A$2:$A$201,A120)&gt;1,"ID重复",IF(COUNTIF('案件'!$A$2:$A$201,B120)&lt;&gt;1,"案件ID无效",IF(AND(F120&lt;&gt;"A",F120&lt;&gt;"B",F120&lt;&gt;"C"),"标注角色无效","字段齐备")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9"/>
      <x:c r="N121" s="8"/>
      <x:c r="O121" s="10" t="str">
        <x:f>IF(COUNTA(A121:N121)=0,"",IF(OR(A121="",B121="",C121="",D121="",E121="",F121="",G121="",H121="",I121="",J121="",L121=""),"缺必填",IF(COUNTIF($A$2:$A$201,A121)&gt;1,"ID重复",IF(COUNTIF('案件'!$A$2:$A$201,B121)&lt;&gt;1,"案件ID无效",IF(AND(F121&lt;&gt;"A",F121&lt;&gt;"B",F121&lt;&gt;"C"),"标注角色无效","字段齐备")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9"/>
      <x:c r="N122" s="8"/>
      <x:c r="O122" s="10" t="str">
        <x:f>IF(COUNTA(A122:N122)=0,"",IF(OR(A122="",B122="",C122="",D122="",E122="",F122="",G122="",H122="",I122="",J122="",L122=""),"缺必填",IF(COUNTIF($A$2:$A$201,A122)&gt;1,"ID重复",IF(COUNTIF('案件'!$A$2:$A$201,B122)&lt;&gt;1,"案件ID无效",IF(AND(F122&lt;&gt;"A",F122&lt;&gt;"B",F122&lt;&gt;"C"),"标注角色无效","字段齐备")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9"/>
      <x:c r="N123" s="8"/>
      <x:c r="O123" s="10" t="str">
        <x:f>IF(COUNTA(A123:N123)=0,"",IF(OR(A123="",B123="",C123="",D123="",E123="",F123="",G123="",H123="",I123="",J123="",L123=""),"缺必填",IF(COUNTIF($A$2:$A$201,A123)&gt;1,"ID重复",IF(COUNTIF('案件'!$A$2:$A$201,B123)&lt;&gt;1,"案件ID无效",IF(AND(F123&lt;&gt;"A",F123&lt;&gt;"B",F123&lt;&gt;"C"),"标注角色无效","字段齐备")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9"/>
      <x:c r="N124" s="8"/>
      <x:c r="O124" s="10" t="str">
        <x:f>IF(COUNTA(A124:N124)=0,"",IF(OR(A124="",B124="",C124="",D124="",E124="",F124="",G124="",H124="",I124="",J124="",L124=""),"缺必填",IF(COUNTIF($A$2:$A$201,A124)&gt;1,"ID重复",IF(COUNTIF('案件'!$A$2:$A$201,B124)&lt;&gt;1,"案件ID无效",IF(AND(F124&lt;&gt;"A",F124&lt;&gt;"B",F124&lt;&gt;"C"),"标注角色无效","字段齐备")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9"/>
      <x:c r="N125" s="8"/>
      <x:c r="O125" s="10" t="str">
        <x:f>IF(COUNTA(A125:N125)=0,"",IF(OR(A125="",B125="",C125="",D125="",E125="",F125="",G125="",H125="",I125="",J125="",L125=""),"缺必填",IF(COUNTIF($A$2:$A$201,A125)&gt;1,"ID重复",IF(COUNTIF('案件'!$A$2:$A$201,B125)&lt;&gt;1,"案件ID无效",IF(AND(F125&lt;&gt;"A",F125&lt;&gt;"B",F125&lt;&gt;"C"),"标注角色无效","字段齐备")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9"/>
      <x:c r="N126" s="8"/>
      <x:c r="O126" s="10" t="str">
        <x:f>IF(COUNTA(A126:N126)=0,"",IF(OR(A126="",B126="",C126="",D126="",E126="",F126="",G126="",H126="",I126="",J126="",L126=""),"缺必填",IF(COUNTIF($A$2:$A$201,A126)&gt;1,"ID重复",IF(COUNTIF('案件'!$A$2:$A$201,B126)&lt;&gt;1,"案件ID无效",IF(AND(F126&lt;&gt;"A",F126&lt;&gt;"B",F126&lt;&gt;"C"),"标注角色无效","字段齐备")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9"/>
      <x:c r="N127" s="8"/>
      <x:c r="O127" s="10" t="str">
        <x:f>IF(COUNTA(A127:N127)=0,"",IF(OR(A127="",B127="",C127="",D127="",E127="",F127="",G127="",H127="",I127="",J127="",L127=""),"缺必填",IF(COUNTIF($A$2:$A$201,A127)&gt;1,"ID重复",IF(COUNTIF('案件'!$A$2:$A$201,B127)&lt;&gt;1,"案件ID无效",IF(AND(F127&lt;&gt;"A",F127&lt;&gt;"B",F127&lt;&gt;"C"),"标注角色无效","字段齐备")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9"/>
      <x:c r="N128" s="8"/>
      <x:c r="O128" s="10" t="str">
        <x:f>IF(COUNTA(A128:N128)=0,"",IF(OR(A128="",B128="",C128="",D128="",E128="",F128="",G128="",H128="",I128="",J128="",L128=""),"缺必填",IF(COUNTIF($A$2:$A$201,A128)&gt;1,"ID重复",IF(COUNTIF('案件'!$A$2:$A$201,B128)&lt;&gt;1,"案件ID无效",IF(AND(F128&lt;&gt;"A",F128&lt;&gt;"B",F128&lt;&gt;"C"),"标注角色无效","字段齐备")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9"/>
      <x:c r="N129" s="8"/>
      <x:c r="O129" s="10" t="str">
        <x:f>IF(COUNTA(A129:N129)=0,"",IF(OR(A129="",B129="",C129="",D129="",E129="",F129="",G129="",H129="",I129="",J129="",L129=""),"缺必填",IF(COUNTIF($A$2:$A$201,A129)&gt;1,"ID重复",IF(COUNTIF('案件'!$A$2:$A$201,B129)&lt;&gt;1,"案件ID无效",IF(AND(F129&lt;&gt;"A",F129&lt;&gt;"B",F129&lt;&gt;"C"),"标注角色无效","字段齐备")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9"/>
      <x:c r="N130" s="8"/>
      <x:c r="O130" s="10" t="str">
        <x:f>IF(COUNTA(A130:N130)=0,"",IF(OR(A130="",B130="",C130="",D130="",E130="",F130="",G130="",H130="",I130="",J130="",L130=""),"缺必填",IF(COUNTIF($A$2:$A$201,A130)&gt;1,"ID重复",IF(COUNTIF('案件'!$A$2:$A$201,B130)&lt;&gt;1,"案件ID无效",IF(AND(F130&lt;&gt;"A",F130&lt;&gt;"B",F130&lt;&gt;"C"),"标注角色无效","字段齐备")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9"/>
      <x:c r="N131" s="8"/>
      <x:c r="O131" s="10" t="str">
        <x:f>IF(COUNTA(A131:N131)=0,"",IF(OR(A131="",B131="",C131="",D131="",E131="",F131="",G131="",H131="",I131="",J131="",L131=""),"缺必填",IF(COUNTIF($A$2:$A$201,A131)&gt;1,"ID重复",IF(COUNTIF('案件'!$A$2:$A$201,B131)&lt;&gt;1,"案件ID无效",IF(AND(F131&lt;&gt;"A",F131&lt;&gt;"B",F131&lt;&gt;"C"),"标注角色无效","字段齐备")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9"/>
      <x:c r="N132" s="8"/>
      <x:c r="O132" s="10" t="str">
        <x:f>IF(COUNTA(A132:N132)=0,"",IF(OR(A132="",B132="",C132="",D132="",E132="",F132="",G132="",H132="",I132="",J132="",L132=""),"缺必填",IF(COUNTIF($A$2:$A$201,A132)&gt;1,"ID重复",IF(COUNTIF('案件'!$A$2:$A$201,B132)&lt;&gt;1,"案件ID无效",IF(AND(F132&lt;&gt;"A",F132&lt;&gt;"B",F132&lt;&gt;"C"),"标注角色无效","字段齐备")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9"/>
      <x:c r="N133" s="8"/>
      <x:c r="O133" s="10" t="str">
        <x:f>IF(COUNTA(A133:N133)=0,"",IF(OR(A133="",B133="",C133="",D133="",E133="",F133="",G133="",H133="",I133="",J133="",L133=""),"缺必填",IF(COUNTIF($A$2:$A$201,A133)&gt;1,"ID重复",IF(COUNTIF('案件'!$A$2:$A$201,B133)&lt;&gt;1,"案件ID无效",IF(AND(F133&lt;&gt;"A",F133&lt;&gt;"B",F133&lt;&gt;"C"),"标注角色无效","字段齐备")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9"/>
      <x:c r="N134" s="8"/>
      <x:c r="O134" s="10" t="str">
        <x:f>IF(COUNTA(A134:N134)=0,"",IF(OR(A134="",B134="",C134="",D134="",E134="",F134="",G134="",H134="",I134="",J134="",L134=""),"缺必填",IF(COUNTIF($A$2:$A$201,A134)&gt;1,"ID重复",IF(COUNTIF('案件'!$A$2:$A$201,B134)&lt;&gt;1,"案件ID无效",IF(AND(F134&lt;&gt;"A",F134&lt;&gt;"B",F134&lt;&gt;"C"),"标注角色无效","字段齐备")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9"/>
      <x:c r="N135" s="8"/>
      <x:c r="O135" s="10" t="str">
        <x:f>IF(COUNTA(A135:N135)=0,"",IF(OR(A135="",B135="",C135="",D135="",E135="",F135="",G135="",H135="",I135="",J135="",L135=""),"缺必填",IF(COUNTIF($A$2:$A$201,A135)&gt;1,"ID重复",IF(COUNTIF('案件'!$A$2:$A$201,B135)&lt;&gt;1,"案件ID无效",IF(AND(F135&lt;&gt;"A",F135&lt;&gt;"B",F135&lt;&gt;"C"),"标注角色无效","字段齐备")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9"/>
      <x:c r="N136" s="8"/>
      <x:c r="O136" s="10" t="str">
        <x:f>IF(COUNTA(A136:N136)=0,"",IF(OR(A136="",B136="",C136="",D136="",E136="",F136="",G136="",H136="",I136="",J136="",L136=""),"缺必填",IF(COUNTIF($A$2:$A$201,A136)&gt;1,"ID重复",IF(COUNTIF('案件'!$A$2:$A$201,B136)&lt;&gt;1,"案件ID无效",IF(AND(F136&lt;&gt;"A",F136&lt;&gt;"B",F136&lt;&gt;"C"),"标注角色无效","字段齐备")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9"/>
      <x:c r="N137" s="8"/>
      <x:c r="O137" s="10" t="str">
        <x:f>IF(COUNTA(A137:N137)=0,"",IF(OR(A137="",B137="",C137="",D137="",E137="",F137="",G137="",H137="",I137="",J137="",L137=""),"缺必填",IF(COUNTIF($A$2:$A$201,A137)&gt;1,"ID重复",IF(COUNTIF('案件'!$A$2:$A$201,B137)&lt;&gt;1,"案件ID无效",IF(AND(F137&lt;&gt;"A",F137&lt;&gt;"B",F137&lt;&gt;"C"),"标注角色无效","字段齐备")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9"/>
      <x:c r="N138" s="8"/>
      <x:c r="O138" s="10" t="str">
        <x:f>IF(COUNTA(A138:N138)=0,"",IF(OR(A138="",B138="",C138="",D138="",E138="",F138="",G138="",H138="",I138="",J138="",L138=""),"缺必填",IF(COUNTIF($A$2:$A$201,A138)&gt;1,"ID重复",IF(COUNTIF('案件'!$A$2:$A$201,B138)&lt;&gt;1,"案件ID无效",IF(AND(F138&lt;&gt;"A",F138&lt;&gt;"B",F138&lt;&gt;"C"),"标注角色无效","字段齐备")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9"/>
      <x:c r="N139" s="8"/>
      <x:c r="O139" s="10" t="str">
        <x:f>IF(COUNTA(A139:N139)=0,"",IF(OR(A139="",B139="",C139="",D139="",E139="",F139="",G139="",H139="",I139="",J139="",L139=""),"缺必填",IF(COUNTIF($A$2:$A$201,A139)&gt;1,"ID重复",IF(COUNTIF('案件'!$A$2:$A$201,B139)&lt;&gt;1,"案件ID无效",IF(AND(F139&lt;&gt;"A",F139&lt;&gt;"B",F139&lt;&gt;"C"),"标注角色无效","字段齐备")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9"/>
      <x:c r="N140" s="8"/>
      <x:c r="O140" s="10" t="str">
        <x:f>IF(COUNTA(A140:N140)=0,"",IF(OR(A140="",B140="",C140="",D140="",E140="",F140="",G140="",H140="",I140="",J140="",L140=""),"缺必填",IF(COUNTIF($A$2:$A$201,A140)&gt;1,"ID重复",IF(COUNTIF('案件'!$A$2:$A$201,B140)&lt;&gt;1,"案件ID无效",IF(AND(F140&lt;&gt;"A",F140&lt;&gt;"B",F140&lt;&gt;"C"),"标注角色无效","字段齐备")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9"/>
      <x:c r="N141" s="8"/>
      <x:c r="O141" s="10" t="str">
        <x:f>IF(COUNTA(A141:N141)=0,"",IF(OR(A141="",B141="",C141="",D141="",E141="",F141="",G141="",H141="",I141="",J141="",L141=""),"缺必填",IF(COUNTIF($A$2:$A$201,A141)&gt;1,"ID重复",IF(COUNTIF('案件'!$A$2:$A$201,B141)&lt;&gt;1,"案件ID无效",IF(AND(F141&lt;&gt;"A",F141&lt;&gt;"B",F141&lt;&gt;"C"),"标注角色无效","字段齐备")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9"/>
      <x:c r="N142" s="8"/>
      <x:c r="O142" s="10" t="str">
        <x:f>IF(COUNTA(A142:N142)=0,"",IF(OR(A142="",B142="",C142="",D142="",E142="",F142="",G142="",H142="",I142="",J142="",L142=""),"缺必填",IF(COUNTIF($A$2:$A$201,A142)&gt;1,"ID重复",IF(COUNTIF('案件'!$A$2:$A$201,B142)&lt;&gt;1,"案件ID无效",IF(AND(F142&lt;&gt;"A",F142&lt;&gt;"B",F142&lt;&gt;"C"),"标注角色无效","字段齐备")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9"/>
      <x:c r="N143" s="8"/>
      <x:c r="O143" s="10" t="str">
        <x:f>IF(COUNTA(A143:N143)=0,"",IF(OR(A143="",B143="",C143="",D143="",E143="",F143="",G143="",H143="",I143="",J143="",L143=""),"缺必填",IF(COUNTIF($A$2:$A$201,A143)&gt;1,"ID重复",IF(COUNTIF('案件'!$A$2:$A$201,B143)&lt;&gt;1,"案件ID无效",IF(AND(F143&lt;&gt;"A",F143&lt;&gt;"B",F143&lt;&gt;"C"),"标注角色无效","字段齐备")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9"/>
      <x:c r="N144" s="8"/>
      <x:c r="O144" s="10" t="str">
        <x:f>IF(COUNTA(A144:N144)=0,"",IF(OR(A144="",B144="",C144="",D144="",E144="",F144="",G144="",H144="",I144="",J144="",L144=""),"缺必填",IF(COUNTIF($A$2:$A$201,A144)&gt;1,"ID重复",IF(COUNTIF('案件'!$A$2:$A$201,B144)&lt;&gt;1,"案件ID无效",IF(AND(F144&lt;&gt;"A",F144&lt;&gt;"B",F144&lt;&gt;"C"),"标注角色无效","字段齐备")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9"/>
      <x:c r="N145" s="8"/>
      <x:c r="O145" s="10" t="str">
        <x:f>IF(COUNTA(A145:N145)=0,"",IF(OR(A145="",B145="",C145="",D145="",E145="",F145="",G145="",H145="",I145="",J145="",L145=""),"缺必填",IF(COUNTIF($A$2:$A$201,A145)&gt;1,"ID重复",IF(COUNTIF('案件'!$A$2:$A$201,B145)&lt;&gt;1,"案件ID无效",IF(AND(F145&lt;&gt;"A",F145&lt;&gt;"B",F145&lt;&gt;"C"),"标注角色无效","字段齐备")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9"/>
      <x:c r="N146" s="8"/>
      <x:c r="O146" s="10" t="str">
        <x:f>IF(COUNTA(A146:N146)=0,"",IF(OR(A146="",B146="",C146="",D146="",E146="",F146="",G146="",H146="",I146="",J146="",L146=""),"缺必填",IF(COUNTIF($A$2:$A$201,A146)&gt;1,"ID重复",IF(COUNTIF('案件'!$A$2:$A$201,B146)&lt;&gt;1,"案件ID无效",IF(AND(F146&lt;&gt;"A",F146&lt;&gt;"B",F146&lt;&gt;"C"),"标注角色无效","字段齐备")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9"/>
      <x:c r="N147" s="8"/>
      <x:c r="O147" s="10" t="str">
        <x:f>IF(COUNTA(A147:N147)=0,"",IF(OR(A147="",B147="",C147="",D147="",E147="",F147="",G147="",H147="",I147="",J147="",L147=""),"缺必填",IF(COUNTIF($A$2:$A$201,A147)&gt;1,"ID重复",IF(COUNTIF('案件'!$A$2:$A$201,B147)&lt;&gt;1,"案件ID无效",IF(AND(F147&lt;&gt;"A",F147&lt;&gt;"B",F147&lt;&gt;"C"),"标注角色无效","字段齐备")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9"/>
      <x:c r="N148" s="8"/>
      <x:c r="O148" s="10" t="str">
        <x:f>IF(COUNTA(A148:N148)=0,"",IF(OR(A148="",B148="",C148="",D148="",E148="",F148="",G148="",H148="",I148="",J148="",L148=""),"缺必填",IF(COUNTIF($A$2:$A$201,A148)&gt;1,"ID重复",IF(COUNTIF('案件'!$A$2:$A$201,B148)&lt;&gt;1,"案件ID无效",IF(AND(F148&lt;&gt;"A",F148&lt;&gt;"B",F148&lt;&gt;"C"),"标注角色无效","字段齐备")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9"/>
      <x:c r="N149" s="8"/>
      <x:c r="O149" s="10" t="str">
        <x:f>IF(COUNTA(A149:N149)=0,"",IF(OR(A149="",B149="",C149="",D149="",E149="",F149="",G149="",H149="",I149="",J149="",L149=""),"缺必填",IF(COUNTIF($A$2:$A$201,A149)&gt;1,"ID重复",IF(COUNTIF('案件'!$A$2:$A$201,B149)&lt;&gt;1,"案件ID无效",IF(AND(F149&lt;&gt;"A",F149&lt;&gt;"B",F149&lt;&gt;"C"),"标注角色无效","字段齐备")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9"/>
      <x:c r="N150" s="8"/>
      <x:c r="O150" s="10" t="str">
        <x:f>IF(COUNTA(A150:N150)=0,"",IF(OR(A150="",B150="",C150="",D150="",E150="",F150="",G150="",H150="",I150="",J150="",L150=""),"缺必填",IF(COUNTIF($A$2:$A$201,A150)&gt;1,"ID重复",IF(COUNTIF('案件'!$A$2:$A$201,B150)&lt;&gt;1,"案件ID无效",IF(AND(F150&lt;&gt;"A",F150&lt;&gt;"B",F150&lt;&gt;"C"),"标注角色无效","字段齐备")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9"/>
      <x:c r="N151" s="8"/>
      <x:c r="O151" s="10" t="str">
        <x:f>IF(COUNTA(A151:N151)=0,"",IF(OR(A151="",B151="",C151="",D151="",E151="",F151="",G151="",H151="",I151="",J151="",L151=""),"缺必填",IF(COUNTIF($A$2:$A$201,A151)&gt;1,"ID重复",IF(COUNTIF('案件'!$A$2:$A$201,B151)&lt;&gt;1,"案件ID无效",IF(AND(F151&lt;&gt;"A",F151&lt;&gt;"B",F151&lt;&gt;"C"),"标注角色无效","字段齐备")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9"/>
      <x:c r="N152" s="8"/>
      <x:c r="O152" s="10" t="str">
        <x:f>IF(COUNTA(A152:N152)=0,"",IF(OR(A152="",B152="",C152="",D152="",E152="",F152="",G152="",H152="",I152="",J152="",L152=""),"缺必填",IF(COUNTIF($A$2:$A$201,A152)&gt;1,"ID重复",IF(COUNTIF('案件'!$A$2:$A$201,B152)&lt;&gt;1,"案件ID无效",IF(AND(F152&lt;&gt;"A",F152&lt;&gt;"B",F152&lt;&gt;"C"),"标注角色无效","字段齐备")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9"/>
      <x:c r="N153" s="8"/>
      <x:c r="O153" s="10" t="str">
        <x:f>IF(COUNTA(A153:N153)=0,"",IF(OR(A153="",B153="",C153="",D153="",E153="",F153="",G153="",H153="",I153="",J153="",L153=""),"缺必填",IF(COUNTIF($A$2:$A$201,A153)&gt;1,"ID重复",IF(COUNTIF('案件'!$A$2:$A$201,B153)&lt;&gt;1,"案件ID无效",IF(AND(F153&lt;&gt;"A",F153&lt;&gt;"B",F153&lt;&gt;"C"),"标注角色无效","字段齐备")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9"/>
      <x:c r="N154" s="8"/>
      <x:c r="O154" s="10" t="str">
        <x:f>IF(COUNTA(A154:N154)=0,"",IF(OR(A154="",B154="",C154="",D154="",E154="",F154="",G154="",H154="",I154="",J154="",L154=""),"缺必填",IF(COUNTIF($A$2:$A$201,A154)&gt;1,"ID重复",IF(COUNTIF('案件'!$A$2:$A$201,B154)&lt;&gt;1,"案件ID无效",IF(AND(F154&lt;&gt;"A",F154&lt;&gt;"B",F154&lt;&gt;"C"),"标注角色无效","字段齐备")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9"/>
      <x:c r="N155" s="8"/>
      <x:c r="O155" s="10" t="str">
        <x:f>IF(COUNTA(A155:N155)=0,"",IF(OR(A155="",B155="",C155="",D155="",E155="",F155="",G155="",H155="",I155="",J155="",L155=""),"缺必填",IF(COUNTIF($A$2:$A$201,A155)&gt;1,"ID重复",IF(COUNTIF('案件'!$A$2:$A$201,B155)&lt;&gt;1,"案件ID无效",IF(AND(F155&lt;&gt;"A",F155&lt;&gt;"B",F155&lt;&gt;"C"),"标注角色无效","字段齐备")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9"/>
      <x:c r="N156" s="8"/>
      <x:c r="O156" s="10" t="str">
        <x:f>IF(COUNTA(A156:N156)=0,"",IF(OR(A156="",B156="",C156="",D156="",E156="",F156="",G156="",H156="",I156="",J156="",L156=""),"缺必填",IF(COUNTIF($A$2:$A$201,A156)&gt;1,"ID重复",IF(COUNTIF('案件'!$A$2:$A$201,B156)&lt;&gt;1,"案件ID无效",IF(AND(F156&lt;&gt;"A",F156&lt;&gt;"B",F156&lt;&gt;"C"),"标注角色无效","字段齐备")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9"/>
      <x:c r="N157" s="8"/>
      <x:c r="O157" s="10" t="str">
        <x:f>IF(COUNTA(A157:N157)=0,"",IF(OR(A157="",B157="",C157="",D157="",E157="",F157="",G157="",H157="",I157="",J157="",L157=""),"缺必填",IF(COUNTIF($A$2:$A$201,A157)&gt;1,"ID重复",IF(COUNTIF('案件'!$A$2:$A$201,B157)&lt;&gt;1,"案件ID无效",IF(AND(F157&lt;&gt;"A",F157&lt;&gt;"B",F157&lt;&gt;"C"),"标注角色无效","字段齐备")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9"/>
      <x:c r="N158" s="8"/>
      <x:c r="O158" s="10" t="str">
        <x:f>IF(COUNTA(A158:N158)=0,"",IF(OR(A158="",B158="",C158="",D158="",E158="",F158="",G158="",H158="",I158="",J158="",L158=""),"缺必填",IF(COUNTIF($A$2:$A$201,A158)&gt;1,"ID重复",IF(COUNTIF('案件'!$A$2:$A$201,B158)&lt;&gt;1,"案件ID无效",IF(AND(F158&lt;&gt;"A",F158&lt;&gt;"B",F158&lt;&gt;"C"),"标注角色无效","字段齐备")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9"/>
      <x:c r="N159" s="8"/>
      <x:c r="O159" s="10" t="str">
        <x:f>IF(COUNTA(A159:N159)=0,"",IF(OR(A159="",B159="",C159="",D159="",E159="",F159="",G159="",H159="",I159="",J159="",L159=""),"缺必填",IF(COUNTIF($A$2:$A$201,A159)&gt;1,"ID重复",IF(COUNTIF('案件'!$A$2:$A$201,B159)&lt;&gt;1,"案件ID无效",IF(AND(F159&lt;&gt;"A",F159&lt;&gt;"B",F159&lt;&gt;"C"),"标注角色无效","字段齐备")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9"/>
      <x:c r="N160" s="8"/>
      <x:c r="O160" s="10" t="str">
        <x:f>IF(COUNTA(A160:N160)=0,"",IF(OR(A160="",B160="",C160="",D160="",E160="",F160="",G160="",H160="",I160="",J160="",L160=""),"缺必填",IF(COUNTIF($A$2:$A$201,A160)&gt;1,"ID重复",IF(COUNTIF('案件'!$A$2:$A$201,B160)&lt;&gt;1,"案件ID无效",IF(AND(F160&lt;&gt;"A",F160&lt;&gt;"B",F160&lt;&gt;"C"),"标注角色无效","字段齐备")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9"/>
      <x:c r="N161" s="8"/>
      <x:c r="O161" s="10" t="str">
        <x:f>IF(COUNTA(A161:N161)=0,"",IF(OR(A161="",B161="",C161="",D161="",E161="",F161="",G161="",H161="",I161="",J161="",L161=""),"缺必填",IF(COUNTIF($A$2:$A$201,A161)&gt;1,"ID重复",IF(COUNTIF('案件'!$A$2:$A$201,B161)&lt;&gt;1,"案件ID无效",IF(AND(F161&lt;&gt;"A",F161&lt;&gt;"B",F161&lt;&gt;"C"),"标注角色无效","字段齐备")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9"/>
      <x:c r="N162" s="8"/>
      <x:c r="O162" s="10" t="str">
        <x:f>IF(COUNTA(A162:N162)=0,"",IF(OR(A162="",B162="",C162="",D162="",E162="",F162="",G162="",H162="",I162="",J162="",L162=""),"缺必填",IF(COUNTIF($A$2:$A$201,A162)&gt;1,"ID重复",IF(COUNTIF('案件'!$A$2:$A$201,B162)&lt;&gt;1,"案件ID无效",IF(AND(F162&lt;&gt;"A",F162&lt;&gt;"B",F162&lt;&gt;"C"),"标注角色无效","字段齐备")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9"/>
      <x:c r="N163" s="8"/>
      <x:c r="O163" s="10" t="str">
        <x:f>IF(COUNTA(A163:N163)=0,"",IF(OR(A163="",B163="",C163="",D163="",E163="",F163="",G163="",H163="",I163="",J163="",L163=""),"缺必填",IF(COUNTIF($A$2:$A$201,A163)&gt;1,"ID重复",IF(COUNTIF('案件'!$A$2:$A$201,B163)&lt;&gt;1,"案件ID无效",IF(AND(F163&lt;&gt;"A",F163&lt;&gt;"B",F163&lt;&gt;"C"),"标注角色无效","字段齐备")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9"/>
      <x:c r="N164" s="8"/>
      <x:c r="O164" s="10" t="str">
        <x:f>IF(COUNTA(A164:N164)=0,"",IF(OR(A164="",B164="",C164="",D164="",E164="",F164="",G164="",H164="",I164="",J164="",L164=""),"缺必填",IF(COUNTIF($A$2:$A$201,A164)&gt;1,"ID重复",IF(COUNTIF('案件'!$A$2:$A$201,B164)&lt;&gt;1,"案件ID无效",IF(AND(F164&lt;&gt;"A",F164&lt;&gt;"B",F164&lt;&gt;"C"),"标注角色无效","字段齐备")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9"/>
      <x:c r="N165" s="8"/>
      <x:c r="O165" s="10" t="str">
        <x:f>IF(COUNTA(A165:N165)=0,"",IF(OR(A165="",B165="",C165="",D165="",E165="",F165="",G165="",H165="",I165="",J165="",L165=""),"缺必填",IF(COUNTIF($A$2:$A$201,A165)&gt;1,"ID重复",IF(COUNTIF('案件'!$A$2:$A$201,B165)&lt;&gt;1,"案件ID无效",IF(AND(F165&lt;&gt;"A",F165&lt;&gt;"B",F165&lt;&gt;"C"),"标注角色无效","字段齐备")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9"/>
      <x:c r="N166" s="8"/>
      <x:c r="O166" s="10" t="str">
        <x:f>IF(COUNTA(A166:N166)=0,"",IF(OR(A166="",B166="",C166="",D166="",E166="",F166="",G166="",H166="",I166="",J166="",L166=""),"缺必填",IF(COUNTIF($A$2:$A$201,A166)&gt;1,"ID重复",IF(COUNTIF('案件'!$A$2:$A$201,B166)&lt;&gt;1,"案件ID无效",IF(AND(F166&lt;&gt;"A",F166&lt;&gt;"B",F166&lt;&gt;"C"),"标注角色无效","字段齐备")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9"/>
      <x:c r="N167" s="8"/>
      <x:c r="O167" s="10" t="str">
        <x:f>IF(COUNTA(A167:N167)=0,"",IF(OR(A167="",B167="",C167="",D167="",E167="",F167="",G167="",H167="",I167="",J167="",L167=""),"缺必填",IF(COUNTIF($A$2:$A$201,A167)&gt;1,"ID重复",IF(COUNTIF('案件'!$A$2:$A$201,B167)&lt;&gt;1,"案件ID无效",IF(AND(F167&lt;&gt;"A",F167&lt;&gt;"B",F167&lt;&gt;"C"),"标注角色无效","字段齐备")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9"/>
      <x:c r="N168" s="8"/>
      <x:c r="O168" s="10" t="str">
        <x:f>IF(COUNTA(A168:N168)=0,"",IF(OR(A168="",B168="",C168="",D168="",E168="",F168="",G168="",H168="",I168="",J168="",L168=""),"缺必填",IF(COUNTIF($A$2:$A$201,A168)&gt;1,"ID重复",IF(COUNTIF('案件'!$A$2:$A$201,B168)&lt;&gt;1,"案件ID无效",IF(AND(F168&lt;&gt;"A",F168&lt;&gt;"B",F168&lt;&gt;"C"),"标注角色无效","字段齐备")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9"/>
      <x:c r="N169" s="8"/>
      <x:c r="O169" s="10" t="str">
        <x:f>IF(COUNTA(A169:N169)=0,"",IF(OR(A169="",B169="",C169="",D169="",E169="",F169="",G169="",H169="",I169="",J169="",L169=""),"缺必填",IF(COUNTIF($A$2:$A$201,A169)&gt;1,"ID重复",IF(COUNTIF('案件'!$A$2:$A$201,B169)&lt;&gt;1,"案件ID无效",IF(AND(F169&lt;&gt;"A",F169&lt;&gt;"B",F169&lt;&gt;"C"),"标注角色无效","字段齐备")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9"/>
      <x:c r="N170" s="8"/>
      <x:c r="O170" s="10" t="str">
        <x:f>IF(COUNTA(A170:N170)=0,"",IF(OR(A170="",B170="",C170="",D170="",E170="",F170="",G170="",H170="",I170="",J170="",L170=""),"缺必填",IF(COUNTIF($A$2:$A$201,A170)&gt;1,"ID重复",IF(COUNTIF('案件'!$A$2:$A$201,B170)&lt;&gt;1,"案件ID无效",IF(AND(F170&lt;&gt;"A",F170&lt;&gt;"B",F170&lt;&gt;"C"),"标注角色无效","字段齐备")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9"/>
      <x:c r="N171" s="8"/>
      <x:c r="O171" s="10" t="str">
        <x:f>IF(COUNTA(A171:N171)=0,"",IF(OR(A171="",B171="",C171="",D171="",E171="",F171="",G171="",H171="",I171="",J171="",L171=""),"缺必填",IF(COUNTIF($A$2:$A$201,A171)&gt;1,"ID重复",IF(COUNTIF('案件'!$A$2:$A$201,B171)&lt;&gt;1,"案件ID无效",IF(AND(F171&lt;&gt;"A",F171&lt;&gt;"B",F171&lt;&gt;"C"),"标注角色无效","字段齐备")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9"/>
      <x:c r="N172" s="8"/>
      <x:c r="O172" s="10" t="str">
        <x:f>IF(COUNTA(A172:N172)=0,"",IF(OR(A172="",B172="",C172="",D172="",E172="",F172="",G172="",H172="",I172="",J172="",L172=""),"缺必填",IF(COUNTIF($A$2:$A$201,A172)&gt;1,"ID重复",IF(COUNTIF('案件'!$A$2:$A$201,B172)&lt;&gt;1,"案件ID无效",IF(AND(F172&lt;&gt;"A",F172&lt;&gt;"B",F172&lt;&gt;"C"),"标注角色无效","字段齐备")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9"/>
      <x:c r="N173" s="8"/>
      <x:c r="O173" s="10" t="str">
        <x:f>IF(COUNTA(A173:N173)=0,"",IF(OR(A173="",B173="",C173="",D173="",E173="",F173="",G173="",H173="",I173="",J173="",L173=""),"缺必填",IF(COUNTIF($A$2:$A$201,A173)&gt;1,"ID重复",IF(COUNTIF('案件'!$A$2:$A$201,B173)&lt;&gt;1,"案件ID无效",IF(AND(F173&lt;&gt;"A",F173&lt;&gt;"B",F173&lt;&gt;"C"),"标注角色无效","字段齐备")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9"/>
      <x:c r="N174" s="8"/>
      <x:c r="O174" s="10" t="str">
        <x:f>IF(COUNTA(A174:N174)=0,"",IF(OR(A174="",B174="",C174="",D174="",E174="",F174="",G174="",H174="",I174="",J174="",L174=""),"缺必填",IF(COUNTIF($A$2:$A$201,A174)&gt;1,"ID重复",IF(COUNTIF('案件'!$A$2:$A$201,B174)&lt;&gt;1,"案件ID无效",IF(AND(F174&lt;&gt;"A",F174&lt;&gt;"B",F174&lt;&gt;"C"),"标注角色无效","字段齐备")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9"/>
      <x:c r="N175" s="8"/>
      <x:c r="O175" s="10" t="str">
        <x:f>IF(COUNTA(A175:N175)=0,"",IF(OR(A175="",B175="",C175="",D175="",E175="",F175="",G175="",H175="",I175="",J175="",L175=""),"缺必填",IF(COUNTIF($A$2:$A$201,A175)&gt;1,"ID重复",IF(COUNTIF('案件'!$A$2:$A$201,B175)&lt;&gt;1,"案件ID无效",IF(AND(F175&lt;&gt;"A",F175&lt;&gt;"B",F175&lt;&gt;"C"),"标注角色无效","字段齐备")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9"/>
      <x:c r="N176" s="8"/>
      <x:c r="O176" s="10" t="str">
        <x:f>IF(COUNTA(A176:N176)=0,"",IF(OR(A176="",B176="",C176="",D176="",E176="",F176="",G176="",H176="",I176="",J176="",L176=""),"缺必填",IF(COUNTIF($A$2:$A$201,A176)&gt;1,"ID重复",IF(COUNTIF('案件'!$A$2:$A$201,B176)&lt;&gt;1,"案件ID无效",IF(AND(F176&lt;&gt;"A",F176&lt;&gt;"B",F176&lt;&gt;"C"),"标注角色无效","字段齐备")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9"/>
      <x:c r="N177" s="8"/>
      <x:c r="O177" s="10" t="str">
        <x:f>IF(COUNTA(A177:N177)=0,"",IF(OR(A177="",B177="",C177="",D177="",E177="",F177="",G177="",H177="",I177="",J177="",L177=""),"缺必填",IF(COUNTIF($A$2:$A$201,A177)&gt;1,"ID重复",IF(COUNTIF('案件'!$A$2:$A$201,B177)&lt;&gt;1,"案件ID无效",IF(AND(F177&lt;&gt;"A",F177&lt;&gt;"B",F177&lt;&gt;"C"),"标注角色无效","字段齐备")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9"/>
      <x:c r="N178" s="8"/>
      <x:c r="O178" s="10" t="str">
        <x:f>IF(COUNTA(A178:N178)=0,"",IF(OR(A178="",B178="",C178="",D178="",E178="",F178="",G178="",H178="",I178="",J178="",L178=""),"缺必填",IF(COUNTIF($A$2:$A$201,A178)&gt;1,"ID重复",IF(COUNTIF('案件'!$A$2:$A$201,B178)&lt;&gt;1,"案件ID无效",IF(AND(F178&lt;&gt;"A",F178&lt;&gt;"B",F178&lt;&gt;"C"),"标注角色无效","字段齐备")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9"/>
      <x:c r="N179" s="8"/>
      <x:c r="O179" s="10" t="str">
        <x:f>IF(COUNTA(A179:N179)=0,"",IF(OR(A179="",B179="",C179="",D179="",E179="",F179="",G179="",H179="",I179="",J179="",L179=""),"缺必填",IF(COUNTIF($A$2:$A$201,A179)&gt;1,"ID重复",IF(COUNTIF('案件'!$A$2:$A$201,B179)&lt;&gt;1,"案件ID无效",IF(AND(F179&lt;&gt;"A",F179&lt;&gt;"B",F179&lt;&gt;"C"),"标注角色无效","字段齐备")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9"/>
      <x:c r="N180" s="8"/>
      <x:c r="O180" s="10" t="str">
        <x:f>IF(COUNTA(A180:N180)=0,"",IF(OR(A180="",B180="",C180="",D180="",E180="",F180="",G180="",H180="",I180="",J180="",L180=""),"缺必填",IF(COUNTIF($A$2:$A$201,A180)&gt;1,"ID重复",IF(COUNTIF('案件'!$A$2:$A$201,B180)&lt;&gt;1,"案件ID无效",IF(AND(F180&lt;&gt;"A",F180&lt;&gt;"B",F180&lt;&gt;"C"),"标注角色无效","字段齐备")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9"/>
      <x:c r="N181" s="8"/>
      <x:c r="O181" s="10" t="str">
        <x:f>IF(COUNTA(A181:N181)=0,"",IF(OR(A181="",B181="",C181="",D181="",E181="",F181="",G181="",H181="",I181="",J181="",L181=""),"缺必填",IF(COUNTIF($A$2:$A$201,A181)&gt;1,"ID重复",IF(COUNTIF('案件'!$A$2:$A$201,B181)&lt;&gt;1,"案件ID无效",IF(AND(F181&lt;&gt;"A",F181&lt;&gt;"B",F181&lt;&gt;"C"),"标注角色无效","字段齐备")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9"/>
      <x:c r="N182" s="8"/>
      <x:c r="O182" s="10" t="str">
        <x:f>IF(COUNTA(A182:N182)=0,"",IF(OR(A182="",B182="",C182="",D182="",E182="",F182="",G182="",H182="",I182="",J182="",L182=""),"缺必填",IF(COUNTIF($A$2:$A$201,A182)&gt;1,"ID重复",IF(COUNTIF('案件'!$A$2:$A$201,B182)&lt;&gt;1,"案件ID无效",IF(AND(F182&lt;&gt;"A",F182&lt;&gt;"B",F182&lt;&gt;"C"),"标注角色无效","字段齐备")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9"/>
      <x:c r="N183" s="8"/>
      <x:c r="O183" s="10" t="str">
        <x:f>IF(COUNTA(A183:N183)=0,"",IF(OR(A183="",B183="",C183="",D183="",E183="",F183="",G183="",H183="",I183="",J183="",L183=""),"缺必填",IF(COUNTIF($A$2:$A$201,A183)&gt;1,"ID重复",IF(COUNTIF('案件'!$A$2:$A$201,B183)&lt;&gt;1,"案件ID无效",IF(AND(F183&lt;&gt;"A",F183&lt;&gt;"B",F183&lt;&gt;"C"),"标注角色无效","字段齐备")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9"/>
      <x:c r="N184" s="8"/>
      <x:c r="O184" s="10" t="str">
        <x:f>IF(COUNTA(A184:N184)=0,"",IF(OR(A184="",B184="",C184="",D184="",E184="",F184="",G184="",H184="",I184="",J184="",L184=""),"缺必填",IF(COUNTIF($A$2:$A$201,A184)&gt;1,"ID重复",IF(COUNTIF('案件'!$A$2:$A$201,B184)&lt;&gt;1,"案件ID无效",IF(AND(F184&lt;&gt;"A",F184&lt;&gt;"B",F184&lt;&gt;"C"),"标注角色无效","字段齐备")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9"/>
      <x:c r="N185" s="8"/>
      <x:c r="O185" s="10" t="str">
        <x:f>IF(COUNTA(A185:N185)=0,"",IF(OR(A185="",B185="",C185="",D185="",E185="",F185="",G185="",H185="",I185="",J185="",L185=""),"缺必填",IF(COUNTIF($A$2:$A$201,A185)&gt;1,"ID重复",IF(COUNTIF('案件'!$A$2:$A$201,B185)&lt;&gt;1,"案件ID无效",IF(AND(F185&lt;&gt;"A",F185&lt;&gt;"B",F185&lt;&gt;"C"),"标注角色无效","字段齐备")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9"/>
      <x:c r="N186" s="8"/>
      <x:c r="O186" s="10" t="str">
        <x:f>IF(COUNTA(A186:N186)=0,"",IF(OR(A186="",B186="",C186="",D186="",E186="",F186="",G186="",H186="",I186="",J186="",L186=""),"缺必填",IF(COUNTIF($A$2:$A$201,A186)&gt;1,"ID重复",IF(COUNTIF('案件'!$A$2:$A$201,B186)&lt;&gt;1,"案件ID无效",IF(AND(F186&lt;&gt;"A",F186&lt;&gt;"B",F186&lt;&gt;"C"),"标注角色无效","字段齐备")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9"/>
      <x:c r="N187" s="8"/>
      <x:c r="O187" s="10" t="str">
        <x:f>IF(COUNTA(A187:N187)=0,"",IF(OR(A187="",B187="",C187="",D187="",E187="",F187="",G187="",H187="",I187="",J187="",L187=""),"缺必填",IF(COUNTIF($A$2:$A$201,A187)&gt;1,"ID重复",IF(COUNTIF('案件'!$A$2:$A$201,B187)&lt;&gt;1,"案件ID无效",IF(AND(F187&lt;&gt;"A",F187&lt;&gt;"B",F187&lt;&gt;"C"),"标注角色无效","字段齐备")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9"/>
      <x:c r="N188" s="8"/>
      <x:c r="O188" s="10" t="str">
        <x:f>IF(COUNTA(A188:N188)=0,"",IF(OR(A188="",B188="",C188="",D188="",E188="",F188="",G188="",H188="",I188="",J188="",L188=""),"缺必填",IF(COUNTIF($A$2:$A$201,A188)&gt;1,"ID重复",IF(COUNTIF('案件'!$A$2:$A$201,B188)&lt;&gt;1,"案件ID无效",IF(AND(F188&lt;&gt;"A",F188&lt;&gt;"B",F188&lt;&gt;"C"),"标注角色无效","字段齐备")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9"/>
      <x:c r="N189" s="8"/>
      <x:c r="O189" s="10" t="str">
        <x:f>IF(COUNTA(A189:N189)=0,"",IF(OR(A189="",B189="",C189="",D189="",E189="",F189="",G189="",H189="",I189="",J189="",L189=""),"缺必填",IF(COUNTIF($A$2:$A$201,A189)&gt;1,"ID重复",IF(COUNTIF('案件'!$A$2:$A$201,B189)&lt;&gt;1,"案件ID无效",IF(AND(F189&lt;&gt;"A",F189&lt;&gt;"B",F189&lt;&gt;"C"),"标注角色无效","字段齐备")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9"/>
      <x:c r="N190" s="8"/>
      <x:c r="O190" s="10" t="str">
        <x:f>IF(COUNTA(A190:N190)=0,"",IF(OR(A190="",B190="",C190="",D190="",E190="",F190="",G190="",H190="",I190="",J190="",L190=""),"缺必填",IF(COUNTIF($A$2:$A$201,A190)&gt;1,"ID重复",IF(COUNTIF('案件'!$A$2:$A$201,B190)&lt;&gt;1,"案件ID无效",IF(AND(F190&lt;&gt;"A",F190&lt;&gt;"B",F190&lt;&gt;"C"),"标注角色无效","字段齐备")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9"/>
      <x:c r="N191" s="8"/>
      <x:c r="O191" s="10" t="str">
        <x:f>IF(COUNTA(A191:N191)=0,"",IF(OR(A191="",B191="",C191="",D191="",E191="",F191="",G191="",H191="",I191="",J191="",L191=""),"缺必填",IF(COUNTIF($A$2:$A$201,A191)&gt;1,"ID重复",IF(COUNTIF('案件'!$A$2:$A$201,B191)&lt;&gt;1,"案件ID无效",IF(AND(F191&lt;&gt;"A",F191&lt;&gt;"B",F191&lt;&gt;"C"),"标注角色无效","字段齐备")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9"/>
      <x:c r="N192" s="8"/>
      <x:c r="O192" s="10" t="str">
        <x:f>IF(COUNTA(A192:N192)=0,"",IF(OR(A192="",B192="",C192="",D192="",E192="",F192="",G192="",H192="",I192="",J192="",L192=""),"缺必填",IF(COUNTIF($A$2:$A$201,A192)&gt;1,"ID重复",IF(COUNTIF('案件'!$A$2:$A$201,B192)&lt;&gt;1,"案件ID无效",IF(AND(F192&lt;&gt;"A",F192&lt;&gt;"B",F192&lt;&gt;"C"),"标注角色无效","字段齐备")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9"/>
      <x:c r="N193" s="8"/>
      <x:c r="O193" s="10" t="str">
        <x:f>IF(COUNTA(A193:N193)=0,"",IF(OR(A193="",B193="",C193="",D193="",E193="",F193="",G193="",H193="",I193="",J193="",L193=""),"缺必填",IF(COUNTIF($A$2:$A$201,A193)&gt;1,"ID重复",IF(COUNTIF('案件'!$A$2:$A$201,B193)&lt;&gt;1,"案件ID无效",IF(AND(F193&lt;&gt;"A",F193&lt;&gt;"B",F193&lt;&gt;"C"),"标注角色无效","字段齐备")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9"/>
      <x:c r="N194" s="8"/>
      <x:c r="O194" s="10" t="str">
        <x:f>IF(COUNTA(A194:N194)=0,"",IF(OR(A194="",B194="",C194="",D194="",E194="",F194="",G194="",H194="",I194="",J194="",L194=""),"缺必填",IF(COUNTIF($A$2:$A$201,A194)&gt;1,"ID重复",IF(COUNTIF('案件'!$A$2:$A$201,B194)&lt;&gt;1,"案件ID无效",IF(AND(F194&lt;&gt;"A",F194&lt;&gt;"B",F194&lt;&gt;"C"),"标注角色无效","字段齐备")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9"/>
      <x:c r="N195" s="8"/>
      <x:c r="O195" s="10" t="str">
        <x:f>IF(COUNTA(A195:N195)=0,"",IF(OR(A195="",B195="",C195="",D195="",E195="",F195="",G195="",H195="",I195="",J195="",L195=""),"缺必填",IF(COUNTIF($A$2:$A$201,A195)&gt;1,"ID重复",IF(COUNTIF('案件'!$A$2:$A$201,B195)&lt;&gt;1,"案件ID无效",IF(AND(F195&lt;&gt;"A",F195&lt;&gt;"B",F195&lt;&gt;"C"),"标注角色无效","字段齐备")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9"/>
      <x:c r="N196" s="8"/>
      <x:c r="O196" s="10" t="str">
        <x:f>IF(COUNTA(A196:N196)=0,"",IF(OR(A196="",B196="",C196="",D196="",E196="",F196="",G196="",H196="",I196="",J196="",L196=""),"缺必填",IF(COUNTIF($A$2:$A$201,A196)&gt;1,"ID重复",IF(COUNTIF('案件'!$A$2:$A$201,B196)&lt;&gt;1,"案件ID无效",IF(AND(F196&lt;&gt;"A",F196&lt;&gt;"B",F196&lt;&gt;"C"),"标注角色无效","字段齐备")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9"/>
      <x:c r="N197" s="8"/>
      <x:c r="O197" s="10" t="str">
        <x:f>IF(COUNTA(A197:N197)=0,"",IF(OR(A197="",B197="",C197="",D197="",E197="",F197="",G197="",H197="",I197="",J197="",L197=""),"缺必填",IF(COUNTIF($A$2:$A$201,A197)&gt;1,"ID重复",IF(COUNTIF('案件'!$A$2:$A$201,B197)&lt;&gt;1,"案件ID无效",IF(AND(F197&lt;&gt;"A",F197&lt;&gt;"B",F197&lt;&gt;"C"),"标注角色无效","字段齐备")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9"/>
      <x:c r="N198" s="8"/>
      <x:c r="O198" s="10" t="str">
        <x:f>IF(COUNTA(A198:N198)=0,"",IF(OR(A198="",B198="",C198="",D198="",E198="",F198="",G198="",H198="",I198="",J198="",L198=""),"缺必填",IF(COUNTIF($A$2:$A$201,A198)&gt;1,"ID重复",IF(COUNTIF('案件'!$A$2:$A$201,B198)&lt;&gt;1,"案件ID无效",IF(AND(F198&lt;&gt;"A",F198&lt;&gt;"B",F198&lt;&gt;"C"),"标注角色无效","字段齐备")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9"/>
      <x:c r="N199" s="8"/>
      <x:c r="O199" s="10" t="str">
        <x:f>IF(COUNTA(A199:N199)=0,"",IF(OR(A199="",B199="",C199="",D199="",E199="",F199="",G199="",H199="",I199="",J199="",L199=""),"缺必填",IF(COUNTIF($A$2:$A$201,A199)&gt;1,"ID重复",IF(COUNTIF('案件'!$A$2:$A$201,B199)&lt;&gt;1,"案件ID无效",IF(AND(F199&lt;&gt;"A",F199&lt;&gt;"B",F199&lt;&gt;"C"),"标注角色无效","字段齐备")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9"/>
      <x:c r="N200" s="8"/>
      <x:c r="O200" s="10" t="str">
        <x:f>IF(COUNTA(A200:N200)=0,"",IF(OR(A200="",B200="",C200="",D200="",E200="",F200="",G200="",H200="",I200="",J200="",L200=""),"缺必填",IF(COUNTIF($A$2:$A$201,A200)&gt;1,"ID重复",IF(COUNTIF('案件'!$A$2:$A$201,B200)&lt;&gt;1,"案件ID无效",IF(AND(F200&lt;&gt;"A",F200&lt;&gt;"B",F200&lt;&gt;"C"),"标注角色无效","字段齐备")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9"/>
      <x:c r="N201" s="8"/>
      <x:c r="O201" s="10" t="str">
        <x:f>IF(COUNTA(A201:N201)=0,"",IF(OR(A201="",B201="",C201="",D201="",E201="",F201="",G201="",H201="",I201="",J201="",L201=""),"缺必填",IF(COUNTIF($A$2:$A$201,A201)&gt;1,"ID重复",IF(COUNTIF('案件'!$A$2:$A$201,B201)&lt;&gt;1,"案件ID无效",IF(AND(F201&lt;&gt;"A",F201&lt;&gt;"B",F201&lt;&gt;"C"),"标注角色无效","字段齐备")))))</x:f>
      </x:c>
    </x:row>
  </x:sheetData>
  <x:conditionalFormatting sqref="A2:O201">
    <x:cfRule type="expression" dxfId="0" priority="1">
      <x:formula>AND($O2&lt;&gt;"",$O2&lt;&gt;"字段齐备")</x:formula>
    </x:cfRule>
  </x:conditionalFormatting>
  <x:dataValidations count="6">
    <x:dataValidation type="list" sqref="C2:C201">
      <x:formula1>"正式,试标"</x:formula1>
    </x:dataValidation>
    <x:dataValidation type="list" sqref="D2:D201">
      <x:formula1>"材料内评价,裁判理由重建"</x:formula1>
    </x:dataValidation>
    <x:dataValidation type="list" sqref="F2:F201">
      <x:formula1>"A,B,C"</x:formula1>
    </x:dataValidation>
    <x:dataValidation type="list" sqref="G2:G201">
      <x:formula1>"E0,U1,U2,U3,U4,U5,FINAL"</x:formula1>
    </x:dataValidation>
    <x:dataValidation type="list" sqref="L2:L201">
      <x:formula1>"未开始,标注中,已提交,退回修改"</x:formula1>
    </x:dataValidation>
    <x:dataValidation type="decimal" operator="greaterThanOrEqual" sqref="M2:M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a520cfddf74c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0" hidden="0" customWidth="1"/>
    <x:col min="12" max="12" width="22" hidden="0" customWidth="1"/>
    <x:col min="13" max="13" width="44" hidden="0" customWidth="1"/>
    <x:col min="14" max="14" width="20" hidden="0" customWidth="1"/>
  </x:cols>
  <x:sheetData>
    <x:row r="1" ht="52" customHeight="1">
      <x:c r="A1" s="6" t="str">
        <x:v>案件ID</x:v>
      </x:c>
      <x:c r="B1" s="6" t="str">
        <x:v>案件族ID</x:v>
      </x:c>
      <x:c r="C1" s="6" t="str">
        <x:v>研究簇</x:v>
      </x:c>
      <x:c r="D1" s="6" t="str">
        <x:v>材料构造类型</x:v>
      </x:c>
      <x:c r="E1" s="6" t="str">
        <x:v>研究权限</x:v>
      </x:c>
      <x:c r="F1" s="6" t="str">
        <x:v>脱敏状态</x:v>
      </x:c>
      <x:c r="G1" s="6" t="str">
        <x:v>数据拆分</x:v>
      </x:c>
      <x:c r="H1" s="6" t="str">
        <x:v>程序阶段</x:v>
      </x:c>
      <x:c r="I1" s="6" t="str">
        <x:v>行为期间原文</x:v>
      </x:c>
      <x:c r="J1" s="6" t="str">
        <x:v>采样来源定位</x:v>
      </x:c>
      <x:c r="K1" s="6" t="str">
        <x:v>关联案件ID</x:v>
      </x:c>
      <x:c r="L1" s="6" t="str">
        <x:v>实际裁判结果</x:v>
      </x:c>
      <x:c r="M1" s="6" t="str">
        <x:v>入选排除理由</x:v>
      </x:c>
      <x:c r="N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10" t="str">
        <x:f>IF(COUNTA(A2:M2)=0,"",IF(OR(A2="",B2="",C2="",D2="",E2="",F2="",G2="",H2="",I2="",J2="",M2=""),"缺必填",IF(COUNTIF($A$2:$A$201,A2)&gt;1,"ID重复","字段齐备")))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10" t="str">
        <x:f>IF(COUNTA(A3:M3)=0,"",IF(OR(A3="",B3="",C3="",D3="",E3="",F3="",G3="",H3="",I3="",J3="",M3=""),"缺必填",IF(COUNTIF($A$2:$A$201,A3)&gt;1,"ID重复","字段齐备")))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10" t="str">
        <x:f>IF(COUNTA(A4:M4)=0,"",IF(OR(A4="",B4="",C4="",D4="",E4="",F4="",G4="",H4="",I4="",J4="",M4=""),"缺必填",IF(COUNTIF($A$2:$A$201,A4)&gt;1,"ID重复","字段齐备")))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10" t="str">
        <x:f>IF(COUNTA(A5:M5)=0,"",IF(OR(A5="",B5="",C5="",D5="",E5="",F5="",G5="",H5="",I5="",J5="",M5=""),"缺必填",IF(COUNTIF($A$2:$A$201,A5)&gt;1,"ID重复","字段齐备")))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10" t="str">
        <x:f>IF(COUNTA(A6:M6)=0,"",IF(OR(A6="",B6="",C6="",D6="",E6="",F6="",G6="",H6="",I6="",J6="",M6=""),"缺必填",IF(COUNTIF($A$2:$A$201,A6)&gt;1,"ID重复","字段齐备")))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10" t="str">
        <x:f>IF(COUNTA(A7:M7)=0,"",IF(OR(A7="",B7="",C7="",D7="",E7="",F7="",G7="",H7="",I7="",J7="",M7=""),"缺必填",IF(COUNTIF($A$2:$A$201,A7)&gt;1,"ID重复","字段齐备")))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10" t="str">
        <x:f>IF(COUNTA(A8:M8)=0,"",IF(OR(A8="",B8="",C8="",D8="",E8="",F8="",G8="",H8="",I8="",J8="",M8=""),"缺必填",IF(COUNTIF($A$2:$A$201,A8)&gt;1,"ID重复","字段齐备")))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10" t="str">
        <x:f>IF(COUNTA(A9:M9)=0,"",IF(OR(A9="",B9="",C9="",D9="",E9="",F9="",G9="",H9="",I9="",J9="",M9=""),"缺必填",IF(COUNTIF($A$2:$A$201,A9)&gt;1,"ID重复","字段齐备")))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10" t="str">
        <x:f>IF(COUNTA(A10:M10)=0,"",IF(OR(A10="",B10="",C10="",D10="",E10="",F10="",G10="",H10="",I10="",J10="",M10=""),"缺必填",IF(COUNTIF($A$2:$A$201,A10)&gt;1,"ID重复","字段齐备")))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10" t="str">
        <x:f>IF(COUNTA(A11:M11)=0,"",IF(OR(A11="",B11="",C11="",D11="",E11="",F11="",G11="",H11="",I11="",J11="",M11=""),"缺必填",IF(COUNTIF($A$2:$A$201,A11)&gt;1,"ID重复","字段齐备")))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10" t="str">
        <x:f>IF(COUNTA(A12:M12)=0,"",IF(OR(A12="",B12="",C12="",D12="",E12="",F12="",G12="",H12="",I12="",J12="",M12=""),"缺必填",IF(COUNTIF($A$2:$A$201,A12)&gt;1,"ID重复","字段齐备")))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10" t="str">
        <x:f>IF(COUNTA(A13:M13)=0,"",IF(OR(A13="",B13="",C13="",D13="",E13="",F13="",G13="",H13="",I13="",J13="",M13=""),"缺必填",IF(COUNTIF($A$2:$A$201,A13)&gt;1,"ID重复","字段齐备")))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10" t="str">
        <x:f>IF(COUNTA(A14:M14)=0,"",IF(OR(A14="",B14="",C14="",D14="",E14="",F14="",G14="",H14="",I14="",J14="",M14=""),"缺必填",IF(COUNTIF($A$2:$A$201,A14)&gt;1,"ID重复","字段齐备")))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10" t="str">
        <x:f>IF(COUNTA(A15:M15)=0,"",IF(OR(A15="",B15="",C15="",D15="",E15="",F15="",G15="",H15="",I15="",J15="",M15=""),"缺必填",IF(COUNTIF($A$2:$A$201,A15)&gt;1,"ID重复","字段齐备")))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10" t="str">
        <x:f>IF(COUNTA(A16:M16)=0,"",IF(OR(A16="",B16="",C16="",D16="",E16="",F16="",G16="",H16="",I16="",J16="",M16=""),"缺必填",IF(COUNTIF($A$2:$A$201,A16)&gt;1,"ID重复","字段齐备")))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10" t="str">
        <x:f>IF(COUNTA(A17:M17)=0,"",IF(OR(A17="",B17="",C17="",D17="",E17="",F17="",G17="",H17="",I17="",J17="",M17=""),"缺必填",IF(COUNTIF($A$2:$A$201,A17)&gt;1,"ID重复","字段齐备")))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10" t="str">
        <x:f>IF(COUNTA(A18:M18)=0,"",IF(OR(A18="",B18="",C18="",D18="",E18="",F18="",G18="",H18="",I18="",J18="",M18=""),"缺必填",IF(COUNTIF($A$2:$A$201,A18)&gt;1,"ID重复","字段齐备")))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10" t="str">
        <x:f>IF(COUNTA(A19:M19)=0,"",IF(OR(A19="",B19="",C19="",D19="",E19="",F19="",G19="",H19="",I19="",J19="",M19=""),"缺必填",IF(COUNTIF($A$2:$A$201,A19)&gt;1,"ID重复","字段齐备")))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10" t="str">
        <x:f>IF(COUNTA(A20:M20)=0,"",IF(OR(A20="",B20="",C20="",D20="",E20="",F20="",G20="",H20="",I20="",J20="",M20=""),"缺必填",IF(COUNTIF($A$2:$A$201,A20)&gt;1,"ID重复","字段齐备")))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10" t="str">
        <x:f>IF(COUNTA(A21:M21)=0,"",IF(OR(A21="",B21="",C21="",D21="",E21="",F21="",G21="",H21="",I21="",J21="",M21=""),"缺必填",IF(COUNTIF($A$2:$A$201,A21)&gt;1,"ID重复","字段齐备")))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10" t="str">
        <x:f>IF(COUNTA(A22:M22)=0,"",IF(OR(A22="",B22="",C22="",D22="",E22="",F22="",G22="",H22="",I22="",J22="",M22=""),"缺必填",IF(COUNTIF($A$2:$A$201,A22)&gt;1,"ID重复","字段齐备")))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10" t="str">
        <x:f>IF(COUNTA(A23:M23)=0,"",IF(OR(A23="",B23="",C23="",D23="",E23="",F23="",G23="",H23="",I23="",J23="",M23=""),"缺必填",IF(COUNTIF($A$2:$A$201,A23)&gt;1,"ID重复","字段齐备")))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10" t="str">
        <x:f>IF(COUNTA(A24:M24)=0,"",IF(OR(A24="",B24="",C24="",D24="",E24="",F24="",G24="",H24="",I24="",J24="",M24=""),"缺必填",IF(COUNTIF($A$2:$A$201,A24)&gt;1,"ID重复","字段齐备")))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10" t="str">
        <x:f>IF(COUNTA(A25:M25)=0,"",IF(OR(A25="",B25="",C25="",D25="",E25="",F25="",G25="",H25="",I25="",J25="",M25=""),"缺必填",IF(COUNTIF($A$2:$A$201,A25)&gt;1,"ID重复","字段齐备")))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10" t="str">
        <x:f>IF(COUNTA(A26:M26)=0,"",IF(OR(A26="",B26="",C26="",D26="",E26="",F26="",G26="",H26="",I26="",J26="",M26=""),"缺必填",IF(COUNTIF($A$2:$A$201,A26)&gt;1,"ID重复","字段齐备")))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10" t="str">
        <x:f>IF(COUNTA(A27:M27)=0,"",IF(OR(A27="",B27="",C27="",D27="",E27="",F27="",G27="",H27="",I27="",J27="",M27=""),"缺必填",IF(COUNTIF($A$2:$A$201,A27)&gt;1,"ID重复","字段齐备")))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10" t="str">
        <x:f>IF(COUNTA(A28:M28)=0,"",IF(OR(A28="",B28="",C28="",D28="",E28="",F28="",G28="",H28="",I28="",J28="",M28=""),"缺必填",IF(COUNTIF($A$2:$A$201,A28)&gt;1,"ID重复","字段齐备")))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10" t="str">
        <x:f>IF(COUNTA(A29:M29)=0,"",IF(OR(A29="",B29="",C29="",D29="",E29="",F29="",G29="",H29="",I29="",J29="",M29=""),"缺必填",IF(COUNTIF($A$2:$A$201,A29)&gt;1,"ID重复","字段齐备")))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10" t="str">
        <x:f>IF(COUNTA(A30:M30)=0,"",IF(OR(A30="",B30="",C30="",D30="",E30="",F30="",G30="",H30="",I30="",J30="",M30=""),"缺必填",IF(COUNTIF($A$2:$A$201,A30)&gt;1,"ID重复","字段齐备")))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10" t="str">
        <x:f>IF(COUNTA(A31:M31)=0,"",IF(OR(A31="",B31="",C31="",D31="",E31="",F31="",G31="",H31="",I31="",J31="",M31=""),"缺必填",IF(COUNTIF($A$2:$A$201,A31)&gt;1,"ID重复","字段齐备")))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10" t="str">
        <x:f>IF(COUNTA(A32:M32)=0,"",IF(OR(A32="",B32="",C32="",D32="",E32="",F32="",G32="",H32="",I32="",J32="",M32=""),"缺必填",IF(COUNTIF($A$2:$A$201,A32)&gt;1,"ID重复","字段齐备")))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10" t="str">
        <x:f>IF(COUNTA(A33:M33)=0,"",IF(OR(A33="",B33="",C33="",D33="",E33="",F33="",G33="",H33="",I33="",J33="",M33=""),"缺必填",IF(COUNTIF($A$2:$A$201,A33)&gt;1,"ID重复","字段齐备")))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10" t="str">
        <x:f>IF(COUNTA(A34:M34)=0,"",IF(OR(A34="",B34="",C34="",D34="",E34="",F34="",G34="",H34="",I34="",J34="",M34=""),"缺必填",IF(COUNTIF($A$2:$A$201,A34)&gt;1,"ID重复","字段齐备")))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10" t="str">
        <x:f>IF(COUNTA(A35:M35)=0,"",IF(OR(A35="",B35="",C35="",D35="",E35="",F35="",G35="",H35="",I35="",J35="",M35=""),"缺必填",IF(COUNTIF($A$2:$A$201,A35)&gt;1,"ID重复","字段齐备")))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10" t="str">
        <x:f>IF(COUNTA(A36:M36)=0,"",IF(OR(A36="",B36="",C36="",D36="",E36="",F36="",G36="",H36="",I36="",J36="",M36=""),"缺必填",IF(COUNTIF($A$2:$A$201,A36)&gt;1,"ID重复","字段齐备")))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10" t="str">
        <x:f>IF(COUNTA(A37:M37)=0,"",IF(OR(A37="",B37="",C37="",D37="",E37="",F37="",G37="",H37="",I37="",J37="",M37=""),"缺必填",IF(COUNTIF($A$2:$A$201,A37)&gt;1,"ID重复","字段齐备")))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10" t="str">
        <x:f>IF(COUNTA(A38:M38)=0,"",IF(OR(A38="",B38="",C38="",D38="",E38="",F38="",G38="",H38="",I38="",J38="",M38=""),"缺必填",IF(COUNTIF($A$2:$A$201,A38)&gt;1,"ID重复","字段齐备")))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10" t="str">
        <x:f>IF(COUNTA(A39:M39)=0,"",IF(OR(A39="",B39="",C39="",D39="",E39="",F39="",G39="",H39="",I39="",J39="",M39=""),"缺必填",IF(COUNTIF($A$2:$A$201,A39)&gt;1,"ID重复","字段齐备")))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10" t="str">
        <x:f>IF(COUNTA(A40:M40)=0,"",IF(OR(A40="",B40="",C40="",D40="",E40="",F40="",G40="",H40="",I40="",J40="",M40=""),"缺必填",IF(COUNTIF($A$2:$A$201,A40)&gt;1,"ID重复","字段齐备")))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10" t="str">
        <x:f>IF(COUNTA(A41:M41)=0,"",IF(OR(A41="",B41="",C41="",D41="",E41="",F41="",G41="",H41="",I41="",J41="",M41=""),"缺必填",IF(COUNTIF($A$2:$A$201,A41)&gt;1,"ID重复","字段齐备")))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10" t="str">
        <x:f>IF(COUNTA(A42:M42)=0,"",IF(OR(A42="",B42="",C42="",D42="",E42="",F42="",G42="",H42="",I42="",J42="",M42=""),"缺必填",IF(COUNTIF($A$2:$A$201,A42)&gt;1,"ID重复","字段齐备")))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10" t="str">
        <x:f>IF(COUNTA(A43:M43)=0,"",IF(OR(A43="",B43="",C43="",D43="",E43="",F43="",G43="",H43="",I43="",J43="",M43=""),"缺必填",IF(COUNTIF($A$2:$A$201,A43)&gt;1,"ID重复","字段齐备")))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10" t="str">
        <x:f>IF(COUNTA(A44:M44)=0,"",IF(OR(A44="",B44="",C44="",D44="",E44="",F44="",G44="",H44="",I44="",J44="",M44=""),"缺必填",IF(COUNTIF($A$2:$A$201,A44)&gt;1,"ID重复","字段齐备")))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10" t="str">
        <x:f>IF(COUNTA(A45:M45)=0,"",IF(OR(A45="",B45="",C45="",D45="",E45="",F45="",G45="",H45="",I45="",J45="",M45=""),"缺必填",IF(COUNTIF($A$2:$A$201,A45)&gt;1,"ID重复","字段齐备")))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10" t="str">
        <x:f>IF(COUNTA(A46:M46)=0,"",IF(OR(A46="",B46="",C46="",D46="",E46="",F46="",G46="",H46="",I46="",J46="",M46=""),"缺必填",IF(COUNTIF($A$2:$A$201,A46)&gt;1,"ID重复","字段齐备")))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10" t="str">
        <x:f>IF(COUNTA(A47:M47)=0,"",IF(OR(A47="",B47="",C47="",D47="",E47="",F47="",G47="",H47="",I47="",J47="",M47=""),"缺必填",IF(COUNTIF($A$2:$A$201,A47)&gt;1,"ID重复","字段齐备")))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10" t="str">
        <x:f>IF(COUNTA(A48:M48)=0,"",IF(OR(A48="",B48="",C48="",D48="",E48="",F48="",G48="",H48="",I48="",J48="",M48=""),"缺必填",IF(COUNTIF($A$2:$A$201,A48)&gt;1,"ID重复","字段齐备")))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10" t="str">
        <x:f>IF(COUNTA(A49:M49)=0,"",IF(OR(A49="",B49="",C49="",D49="",E49="",F49="",G49="",H49="",I49="",J49="",M49=""),"缺必填",IF(COUNTIF($A$2:$A$201,A49)&gt;1,"ID重复","字段齐备")))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10" t="str">
        <x:f>IF(COUNTA(A50:M50)=0,"",IF(OR(A50="",B50="",C50="",D50="",E50="",F50="",G50="",H50="",I50="",J50="",M50=""),"缺必填",IF(COUNTIF($A$2:$A$201,A50)&gt;1,"ID重复","字段齐备")))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10" t="str">
        <x:f>IF(COUNTA(A51:M51)=0,"",IF(OR(A51="",B51="",C51="",D51="",E51="",F51="",G51="",H51="",I51="",J51="",M51=""),"缺必填",IF(COUNTIF($A$2:$A$201,A51)&gt;1,"ID重复","字段齐备")))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10" t="str">
        <x:f>IF(COUNTA(A52:M52)=0,"",IF(OR(A52="",B52="",C52="",D52="",E52="",F52="",G52="",H52="",I52="",J52="",M52=""),"缺必填",IF(COUNTIF($A$2:$A$201,A52)&gt;1,"ID重复","字段齐备")))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10" t="str">
        <x:f>IF(COUNTA(A53:M53)=0,"",IF(OR(A53="",B53="",C53="",D53="",E53="",F53="",G53="",H53="",I53="",J53="",M53=""),"缺必填",IF(COUNTIF($A$2:$A$201,A53)&gt;1,"ID重复","字段齐备")))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10" t="str">
        <x:f>IF(COUNTA(A54:M54)=0,"",IF(OR(A54="",B54="",C54="",D54="",E54="",F54="",G54="",H54="",I54="",J54="",M54=""),"缺必填",IF(COUNTIF($A$2:$A$201,A54)&gt;1,"ID重复","字段齐备")))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10" t="str">
        <x:f>IF(COUNTA(A55:M55)=0,"",IF(OR(A55="",B55="",C55="",D55="",E55="",F55="",G55="",H55="",I55="",J55="",M55=""),"缺必填",IF(COUNTIF($A$2:$A$201,A55)&gt;1,"ID重复","字段齐备")))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10" t="str">
        <x:f>IF(COUNTA(A56:M56)=0,"",IF(OR(A56="",B56="",C56="",D56="",E56="",F56="",G56="",H56="",I56="",J56="",M56=""),"缺必填",IF(COUNTIF($A$2:$A$201,A56)&gt;1,"ID重复","字段齐备")))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10" t="str">
        <x:f>IF(COUNTA(A57:M57)=0,"",IF(OR(A57="",B57="",C57="",D57="",E57="",F57="",G57="",H57="",I57="",J57="",M57=""),"缺必填",IF(COUNTIF($A$2:$A$201,A57)&gt;1,"ID重复","字段齐备")))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10" t="str">
        <x:f>IF(COUNTA(A58:M58)=0,"",IF(OR(A58="",B58="",C58="",D58="",E58="",F58="",G58="",H58="",I58="",J58="",M58=""),"缺必填",IF(COUNTIF($A$2:$A$201,A58)&gt;1,"ID重复","字段齐备")))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10" t="str">
        <x:f>IF(COUNTA(A59:M59)=0,"",IF(OR(A59="",B59="",C59="",D59="",E59="",F59="",G59="",H59="",I59="",J59="",M59=""),"缺必填",IF(COUNTIF($A$2:$A$201,A59)&gt;1,"ID重复","字段齐备")))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10" t="str">
        <x:f>IF(COUNTA(A60:M60)=0,"",IF(OR(A60="",B60="",C60="",D60="",E60="",F60="",G60="",H60="",I60="",J60="",M60=""),"缺必填",IF(COUNTIF($A$2:$A$201,A60)&gt;1,"ID重复","字段齐备")))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10" t="str">
        <x:f>IF(COUNTA(A61:M61)=0,"",IF(OR(A61="",B61="",C61="",D61="",E61="",F61="",G61="",H61="",I61="",J61="",M61=""),"缺必填",IF(COUNTIF($A$2:$A$201,A61)&gt;1,"ID重复","字段齐备")))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10" t="str">
        <x:f>IF(COUNTA(A62:M62)=0,"",IF(OR(A62="",B62="",C62="",D62="",E62="",F62="",G62="",H62="",I62="",J62="",M62=""),"缺必填",IF(COUNTIF($A$2:$A$201,A62)&gt;1,"ID重复","字段齐备")))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10" t="str">
        <x:f>IF(COUNTA(A63:M63)=0,"",IF(OR(A63="",B63="",C63="",D63="",E63="",F63="",G63="",H63="",I63="",J63="",M63=""),"缺必填",IF(COUNTIF($A$2:$A$201,A63)&gt;1,"ID重复","字段齐备")))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10" t="str">
        <x:f>IF(COUNTA(A64:M64)=0,"",IF(OR(A64="",B64="",C64="",D64="",E64="",F64="",G64="",H64="",I64="",J64="",M64=""),"缺必填",IF(COUNTIF($A$2:$A$201,A64)&gt;1,"ID重复","字段齐备")))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10" t="str">
        <x:f>IF(COUNTA(A65:M65)=0,"",IF(OR(A65="",B65="",C65="",D65="",E65="",F65="",G65="",H65="",I65="",J65="",M65=""),"缺必填",IF(COUNTIF($A$2:$A$201,A65)&gt;1,"ID重复","字段齐备")))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10" t="str">
        <x:f>IF(COUNTA(A66:M66)=0,"",IF(OR(A66="",B66="",C66="",D66="",E66="",F66="",G66="",H66="",I66="",J66="",M66=""),"缺必填",IF(COUNTIF($A$2:$A$201,A66)&gt;1,"ID重复","字段齐备")))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10" t="str">
        <x:f>IF(COUNTA(A67:M67)=0,"",IF(OR(A67="",B67="",C67="",D67="",E67="",F67="",G67="",H67="",I67="",J67="",M67=""),"缺必填",IF(COUNTIF($A$2:$A$201,A67)&gt;1,"ID重复","字段齐备")))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10" t="str">
        <x:f>IF(COUNTA(A68:M68)=0,"",IF(OR(A68="",B68="",C68="",D68="",E68="",F68="",G68="",H68="",I68="",J68="",M68=""),"缺必填",IF(COUNTIF($A$2:$A$201,A68)&gt;1,"ID重复","字段齐备")))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10" t="str">
        <x:f>IF(COUNTA(A69:M69)=0,"",IF(OR(A69="",B69="",C69="",D69="",E69="",F69="",G69="",H69="",I69="",J69="",M69=""),"缺必填",IF(COUNTIF($A$2:$A$201,A69)&gt;1,"ID重复","字段齐备")))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10" t="str">
        <x:f>IF(COUNTA(A70:M70)=0,"",IF(OR(A70="",B70="",C70="",D70="",E70="",F70="",G70="",H70="",I70="",J70="",M70=""),"缺必填",IF(COUNTIF($A$2:$A$201,A70)&gt;1,"ID重复","字段齐备")))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10" t="str">
        <x:f>IF(COUNTA(A71:M71)=0,"",IF(OR(A71="",B71="",C71="",D71="",E71="",F71="",G71="",H71="",I71="",J71="",M71=""),"缺必填",IF(COUNTIF($A$2:$A$201,A71)&gt;1,"ID重复","字段齐备")))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10" t="str">
        <x:f>IF(COUNTA(A72:M72)=0,"",IF(OR(A72="",B72="",C72="",D72="",E72="",F72="",G72="",H72="",I72="",J72="",M72=""),"缺必填",IF(COUNTIF($A$2:$A$201,A72)&gt;1,"ID重复","字段齐备")))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10" t="str">
        <x:f>IF(COUNTA(A73:M73)=0,"",IF(OR(A73="",B73="",C73="",D73="",E73="",F73="",G73="",H73="",I73="",J73="",M73=""),"缺必填",IF(COUNTIF($A$2:$A$201,A73)&gt;1,"ID重复","字段齐备")))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10" t="str">
        <x:f>IF(COUNTA(A74:M74)=0,"",IF(OR(A74="",B74="",C74="",D74="",E74="",F74="",G74="",H74="",I74="",J74="",M74=""),"缺必填",IF(COUNTIF($A$2:$A$201,A74)&gt;1,"ID重复","字段齐备")))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10" t="str">
        <x:f>IF(COUNTA(A75:M75)=0,"",IF(OR(A75="",B75="",C75="",D75="",E75="",F75="",G75="",H75="",I75="",J75="",M75=""),"缺必填",IF(COUNTIF($A$2:$A$201,A75)&gt;1,"ID重复","字段齐备")))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10" t="str">
        <x:f>IF(COUNTA(A76:M76)=0,"",IF(OR(A76="",B76="",C76="",D76="",E76="",F76="",G76="",H76="",I76="",J76="",M76=""),"缺必填",IF(COUNTIF($A$2:$A$201,A76)&gt;1,"ID重复","字段齐备")))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10" t="str">
        <x:f>IF(COUNTA(A77:M77)=0,"",IF(OR(A77="",B77="",C77="",D77="",E77="",F77="",G77="",H77="",I77="",J77="",M77=""),"缺必填",IF(COUNTIF($A$2:$A$201,A77)&gt;1,"ID重复","字段齐备")))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10" t="str">
        <x:f>IF(COUNTA(A78:M78)=0,"",IF(OR(A78="",B78="",C78="",D78="",E78="",F78="",G78="",H78="",I78="",J78="",M78=""),"缺必填",IF(COUNTIF($A$2:$A$201,A78)&gt;1,"ID重复","字段齐备")))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10" t="str">
        <x:f>IF(COUNTA(A79:M79)=0,"",IF(OR(A79="",B79="",C79="",D79="",E79="",F79="",G79="",H79="",I79="",J79="",M79=""),"缺必填",IF(COUNTIF($A$2:$A$201,A79)&gt;1,"ID重复","字段齐备")))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10" t="str">
        <x:f>IF(COUNTA(A80:M80)=0,"",IF(OR(A80="",B80="",C80="",D80="",E80="",F80="",G80="",H80="",I80="",J80="",M80=""),"缺必填",IF(COUNTIF($A$2:$A$201,A80)&gt;1,"ID重复","字段齐备")))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10" t="str">
        <x:f>IF(COUNTA(A81:M81)=0,"",IF(OR(A81="",B81="",C81="",D81="",E81="",F81="",G81="",H81="",I81="",J81="",M81=""),"缺必填",IF(COUNTIF($A$2:$A$201,A81)&gt;1,"ID重复","字段齐备")))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10" t="str">
        <x:f>IF(COUNTA(A82:M82)=0,"",IF(OR(A82="",B82="",C82="",D82="",E82="",F82="",G82="",H82="",I82="",J82="",M82=""),"缺必填",IF(COUNTIF($A$2:$A$201,A82)&gt;1,"ID重复","字段齐备")))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10" t="str">
        <x:f>IF(COUNTA(A83:M83)=0,"",IF(OR(A83="",B83="",C83="",D83="",E83="",F83="",G83="",H83="",I83="",J83="",M83=""),"缺必填",IF(COUNTIF($A$2:$A$201,A83)&gt;1,"ID重复","字段齐备")))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10" t="str">
        <x:f>IF(COUNTA(A84:M84)=0,"",IF(OR(A84="",B84="",C84="",D84="",E84="",F84="",G84="",H84="",I84="",J84="",M84=""),"缺必填",IF(COUNTIF($A$2:$A$201,A84)&gt;1,"ID重复","字段齐备")))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10" t="str">
        <x:f>IF(COUNTA(A85:M85)=0,"",IF(OR(A85="",B85="",C85="",D85="",E85="",F85="",G85="",H85="",I85="",J85="",M85=""),"缺必填",IF(COUNTIF($A$2:$A$201,A85)&gt;1,"ID重复","字段齐备")))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10" t="str">
        <x:f>IF(COUNTA(A86:M86)=0,"",IF(OR(A86="",B86="",C86="",D86="",E86="",F86="",G86="",H86="",I86="",J86="",M86=""),"缺必填",IF(COUNTIF($A$2:$A$201,A86)&gt;1,"ID重复","字段齐备")))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10" t="str">
        <x:f>IF(COUNTA(A87:M87)=0,"",IF(OR(A87="",B87="",C87="",D87="",E87="",F87="",G87="",H87="",I87="",J87="",M87=""),"缺必填",IF(COUNTIF($A$2:$A$201,A87)&gt;1,"ID重复","字段齐备")))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10" t="str">
        <x:f>IF(COUNTA(A88:M88)=0,"",IF(OR(A88="",B88="",C88="",D88="",E88="",F88="",G88="",H88="",I88="",J88="",M88=""),"缺必填",IF(COUNTIF($A$2:$A$201,A88)&gt;1,"ID重复","字段齐备")))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10" t="str">
        <x:f>IF(COUNTA(A89:M89)=0,"",IF(OR(A89="",B89="",C89="",D89="",E89="",F89="",G89="",H89="",I89="",J89="",M89=""),"缺必填",IF(COUNTIF($A$2:$A$201,A89)&gt;1,"ID重复","字段齐备")))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10" t="str">
        <x:f>IF(COUNTA(A90:M90)=0,"",IF(OR(A90="",B90="",C90="",D90="",E90="",F90="",G90="",H90="",I90="",J90="",M90=""),"缺必填",IF(COUNTIF($A$2:$A$201,A90)&gt;1,"ID重复","字段齐备")))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10" t="str">
        <x:f>IF(COUNTA(A91:M91)=0,"",IF(OR(A91="",B91="",C91="",D91="",E91="",F91="",G91="",H91="",I91="",J91="",M91=""),"缺必填",IF(COUNTIF($A$2:$A$201,A91)&gt;1,"ID重复","字段齐备")))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10" t="str">
        <x:f>IF(COUNTA(A92:M92)=0,"",IF(OR(A92="",B92="",C92="",D92="",E92="",F92="",G92="",H92="",I92="",J92="",M92=""),"缺必填",IF(COUNTIF($A$2:$A$201,A92)&gt;1,"ID重复","字段齐备")))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10" t="str">
        <x:f>IF(COUNTA(A93:M93)=0,"",IF(OR(A93="",B93="",C93="",D93="",E93="",F93="",G93="",H93="",I93="",J93="",M93=""),"缺必填",IF(COUNTIF($A$2:$A$201,A93)&gt;1,"ID重复","字段齐备")))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10" t="str">
        <x:f>IF(COUNTA(A94:M94)=0,"",IF(OR(A94="",B94="",C94="",D94="",E94="",F94="",G94="",H94="",I94="",J94="",M94=""),"缺必填",IF(COUNTIF($A$2:$A$201,A94)&gt;1,"ID重复","字段齐备")))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10" t="str">
        <x:f>IF(COUNTA(A95:M95)=0,"",IF(OR(A95="",B95="",C95="",D95="",E95="",F95="",G95="",H95="",I95="",J95="",M95=""),"缺必填",IF(COUNTIF($A$2:$A$201,A95)&gt;1,"ID重复","字段齐备")))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10" t="str">
        <x:f>IF(COUNTA(A96:M96)=0,"",IF(OR(A96="",B96="",C96="",D96="",E96="",F96="",G96="",H96="",I96="",J96="",M96=""),"缺必填",IF(COUNTIF($A$2:$A$201,A96)&gt;1,"ID重复","字段齐备")))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10" t="str">
        <x:f>IF(COUNTA(A97:M97)=0,"",IF(OR(A97="",B97="",C97="",D97="",E97="",F97="",G97="",H97="",I97="",J97="",M97=""),"缺必填",IF(COUNTIF($A$2:$A$201,A97)&gt;1,"ID重复","字段齐备")))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10" t="str">
        <x:f>IF(COUNTA(A98:M98)=0,"",IF(OR(A98="",B98="",C98="",D98="",E98="",F98="",G98="",H98="",I98="",J98="",M98=""),"缺必填",IF(COUNTIF($A$2:$A$201,A98)&gt;1,"ID重复","字段齐备")))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10" t="str">
        <x:f>IF(COUNTA(A99:M99)=0,"",IF(OR(A99="",B99="",C99="",D99="",E99="",F99="",G99="",H99="",I99="",J99="",M99=""),"缺必填",IF(COUNTIF($A$2:$A$201,A99)&gt;1,"ID重复","字段齐备")))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10" t="str">
        <x:f>IF(COUNTA(A100:M100)=0,"",IF(OR(A100="",B100="",C100="",D100="",E100="",F100="",G100="",H100="",I100="",J100="",M100=""),"缺必填",IF(COUNTIF($A$2:$A$201,A100)&gt;1,"ID重复","字段齐备")))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10" t="str">
        <x:f>IF(COUNTA(A101:M101)=0,"",IF(OR(A101="",B101="",C101="",D101="",E101="",F101="",G101="",H101="",I101="",J101="",M101=""),"缺必填",IF(COUNTIF($A$2:$A$201,A101)&gt;1,"ID重复","字段齐备")))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10" t="str">
        <x:f>IF(COUNTA(A102:M102)=0,"",IF(OR(A102="",B102="",C102="",D102="",E102="",F102="",G102="",H102="",I102="",J102="",M102=""),"缺必填",IF(COUNTIF($A$2:$A$201,A102)&gt;1,"ID重复","字段齐备")))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10" t="str">
        <x:f>IF(COUNTA(A103:M103)=0,"",IF(OR(A103="",B103="",C103="",D103="",E103="",F103="",G103="",H103="",I103="",J103="",M103=""),"缺必填",IF(COUNTIF($A$2:$A$201,A103)&gt;1,"ID重复","字段齐备")))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10" t="str">
        <x:f>IF(COUNTA(A104:M104)=0,"",IF(OR(A104="",B104="",C104="",D104="",E104="",F104="",G104="",H104="",I104="",J104="",M104=""),"缺必填",IF(COUNTIF($A$2:$A$201,A104)&gt;1,"ID重复","字段齐备")))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10" t="str">
        <x:f>IF(COUNTA(A105:M105)=0,"",IF(OR(A105="",B105="",C105="",D105="",E105="",F105="",G105="",H105="",I105="",J105="",M105=""),"缺必填",IF(COUNTIF($A$2:$A$201,A105)&gt;1,"ID重复","字段齐备")))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10" t="str">
        <x:f>IF(COUNTA(A106:M106)=0,"",IF(OR(A106="",B106="",C106="",D106="",E106="",F106="",G106="",H106="",I106="",J106="",M106=""),"缺必填",IF(COUNTIF($A$2:$A$201,A106)&gt;1,"ID重复","字段齐备")))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10" t="str">
        <x:f>IF(COUNTA(A107:M107)=0,"",IF(OR(A107="",B107="",C107="",D107="",E107="",F107="",G107="",H107="",I107="",J107="",M107=""),"缺必填",IF(COUNTIF($A$2:$A$201,A107)&gt;1,"ID重复","字段齐备")))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10" t="str">
        <x:f>IF(COUNTA(A108:M108)=0,"",IF(OR(A108="",B108="",C108="",D108="",E108="",F108="",G108="",H108="",I108="",J108="",M108=""),"缺必填",IF(COUNTIF($A$2:$A$201,A108)&gt;1,"ID重复","字段齐备")))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10" t="str">
        <x:f>IF(COUNTA(A109:M109)=0,"",IF(OR(A109="",B109="",C109="",D109="",E109="",F109="",G109="",H109="",I109="",J109="",M109=""),"缺必填",IF(COUNTIF($A$2:$A$201,A109)&gt;1,"ID重复","字段齐备")))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10" t="str">
        <x:f>IF(COUNTA(A110:M110)=0,"",IF(OR(A110="",B110="",C110="",D110="",E110="",F110="",G110="",H110="",I110="",J110="",M110=""),"缺必填",IF(COUNTIF($A$2:$A$201,A110)&gt;1,"ID重复","字段齐备")))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10" t="str">
        <x:f>IF(COUNTA(A111:M111)=0,"",IF(OR(A111="",B111="",C111="",D111="",E111="",F111="",G111="",H111="",I111="",J111="",M111=""),"缺必填",IF(COUNTIF($A$2:$A$201,A111)&gt;1,"ID重复","字段齐备")))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10" t="str">
        <x:f>IF(COUNTA(A112:M112)=0,"",IF(OR(A112="",B112="",C112="",D112="",E112="",F112="",G112="",H112="",I112="",J112="",M112=""),"缺必填",IF(COUNTIF($A$2:$A$201,A112)&gt;1,"ID重复","字段齐备")))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10" t="str">
        <x:f>IF(COUNTA(A113:M113)=0,"",IF(OR(A113="",B113="",C113="",D113="",E113="",F113="",G113="",H113="",I113="",J113="",M113=""),"缺必填",IF(COUNTIF($A$2:$A$201,A113)&gt;1,"ID重复","字段齐备")))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10" t="str">
        <x:f>IF(COUNTA(A114:M114)=0,"",IF(OR(A114="",B114="",C114="",D114="",E114="",F114="",G114="",H114="",I114="",J114="",M114=""),"缺必填",IF(COUNTIF($A$2:$A$201,A114)&gt;1,"ID重复","字段齐备")))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10" t="str">
        <x:f>IF(COUNTA(A115:M115)=0,"",IF(OR(A115="",B115="",C115="",D115="",E115="",F115="",G115="",H115="",I115="",J115="",M115=""),"缺必填",IF(COUNTIF($A$2:$A$201,A115)&gt;1,"ID重复","字段齐备")))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10" t="str">
        <x:f>IF(COUNTA(A116:M116)=0,"",IF(OR(A116="",B116="",C116="",D116="",E116="",F116="",G116="",H116="",I116="",J116="",M116=""),"缺必填",IF(COUNTIF($A$2:$A$201,A116)&gt;1,"ID重复","字段齐备")))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10" t="str">
        <x:f>IF(COUNTA(A117:M117)=0,"",IF(OR(A117="",B117="",C117="",D117="",E117="",F117="",G117="",H117="",I117="",J117="",M117=""),"缺必填",IF(COUNTIF($A$2:$A$201,A117)&gt;1,"ID重复","字段齐备")))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10" t="str">
        <x:f>IF(COUNTA(A118:M118)=0,"",IF(OR(A118="",B118="",C118="",D118="",E118="",F118="",G118="",H118="",I118="",J118="",M118=""),"缺必填",IF(COUNTIF($A$2:$A$201,A118)&gt;1,"ID重复","字段齐备")))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10" t="str">
        <x:f>IF(COUNTA(A119:M119)=0,"",IF(OR(A119="",B119="",C119="",D119="",E119="",F119="",G119="",H119="",I119="",J119="",M119=""),"缺必填",IF(COUNTIF($A$2:$A$201,A119)&gt;1,"ID重复","字段齐备")))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10" t="str">
        <x:f>IF(COUNTA(A120:M120)=0,"",IF(OR(A120="",B120="",C120="",D120="",E120="",F120="",G120="",H120="",I120="",J120="",M120=""),"缺必填",IF(COUNTIF($A$2:$A$201,A120)&gt;1,"ID重复","字段齐备")))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10" t="str">
        <x:f>IF(COUNTA(A121:M121)=0,"",IF(OR(A121="",B121="",C121="",D121="",E121="",F121="",G121="",H121="",I121="",J121="",M121=""),"缺必填",IF(COUNTIF($A$2:$A$201,A121)&gt;1,"ID重复","字段齐备")))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10" t="str">
        <x:f>IF(COUNTA(A122:M122)=0,"",IF(OR(A122="",B122="",C122="",D122="",E122="",F122="",G122="",H122="",I122="",J122="",M122=""),"缺必填",IF(COUNTIF($A$2:$A$201,A122)&gt;1,"ID重复","字段齐备")))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10" t="str">
        <x:f>IF(COUNTA(A123:M123)=0,"",IF(OR(A123="",B123="",C123="",D123="",E123="",F123="",G123="",H123="",I123="",J123="",M123=""),"缺必填",IF(COUNTIF($A$2:$A$201,A123)&gt;1,"ID重复","字段齐备")))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10" t="str">
        <x:f>IF(COUNTA(A124:M124)=0,"",IF(OR(A124="",B124="",C124="",D124="",E124="",F124="",G124="",H124="",I124="",J124="",M124=""),"缺必填",IF(COUNTIF($A$2:$A$201,A124)&gt;1,"ID重复","字段齐备")))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10" t="str">
        <x:f>IF(COUNTA(A125:M125)=0,"",IF(OR(A125="",B125="",C125="",D125="",E125="",F125="",G125="",H125="",I125="",J125="",M125=""),"缺必填",IF(COUNTIF($A$2:$A$201,A125)&gt;1,"ID重复","字段齐备")))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10" t="str">
        <x:f>IF(COUNTA(A126:M126)=0,"",IF(OR(A126="",B126="",C126="",D126="",E126="",F126="",G126="",H126="",I126="",J126="",M126=""),"缺必填",IF(COUNTIF($A$2:$A$201,A126)&gt;1,"ID重复","字段齐备")))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10" t="str">
        <x:f>IF(COUNTA(A127:M127)=0,"",IF(OR(A127="",B127="",C127="",D127="",E127="",F127="",G127="",H127="",I127="",J127="",M127=""),"缺必填",IF(COUNTIF($A$2:$A$201,A127)&gt;1,"ID重复","字段齐备")))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10" t="str">
        <x:f>IF(COUNTA(A128:M128)=0,"",IF(OR(A128="",B128="",C128="",D128="",E128="",F128="",G128="",H128="",I128="",J128="",M128=""),"缺必填",IF(COUNTIF($A$2:$A$201,A128)&gt;1,"ID重复","字段齐备")))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10" t="str">
        <x:f>IF(COUNTA(A129:M129)=0,"",IF(OR(A129="",B129="",C129="",D129="",E129="",F129="",G129="",H129="",I129="",J129="",M129=""),"缺必填",IF(COUNTIF($A$2:$A$201,A129)&gt;1,"ID重复","字段齐备")))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10" t="str">
        <x:f>IF(COUNTA(A130:M130)=0,"",IF(OR(A130="",B130="",C130="",D130="",E130="",F130="",G130="",H130="",I130="",J130="",M130=""),"缺必填",IF(COUNTIF($A$2:$A$201,A130)&gt;1,"ID重复","字段齐备")))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10" t="str">
        <x:f>IF(COUNTA(A131:M131)=0,"",IF(OR(A131="",B131="",C131="",D131="",E131="",F131="",G131="",H131="",I131="",J131="",M131=""),"缺必填",IF(COUNTIF($A$2:$A$201,A131)&gt;1,"ID重复","字段齐备")))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10" t="str">
        <x:f>IF(COUNTA(A132:M132)=0,"",IF(OR(A132="",B132="",C132="",D132="",E132="",F132="",G132="",H132="",I132="",J132="",M132=""),"缺必填",IF(COUNTIF($A$2:$A$201,A132)&gt;1,"ID重复","字段齐备")))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10" t="str">
        <x:f>IF(COUNTA(A133:M133)=0,"",IF(OR(A133="",B133="",C133="",D133="",E133="",F133="",G133="",H133="",I133="",J133="",M133=""),"缺必填",IF(COUNTIF($A$2:$A$201,A133)&gt;1,"ID重复","字段齐备")))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10" t="str">
        <x:f>IF(COUNTA(A134:M134)=0,"",IF(OR(A134="",B134="",C134="",D134="",E134="",F134="",G134="",H134="",I134="",J134="",M134=""),"缺必填",IF(COUNTIF($A$2:$A$201,A134)&gt;1,"ID重复","字段齐备")))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10" t="str">
        <x:f>IF(COUNTA(A135:M135)=0,"",IF(OR(A135="",B135="",C135="",D135="",E135="",F135="",G135="",H135="",I135="",J135="",M135=""),"缺必填",IF(COUNTIF($A$2:$A$201,A135)&gt;1,"ID重复","字段齐备")))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10" t="str">
        <x:f>IF(COUNTA(A136:M136)=0,"",IF(OR(A136="",B136="",C136="",D136="",E136="",F136="",G136="",H136="",I136="",J136="",M136=""),"缺必填",IF(COUNTIF($A$2:$A$201,A136)&gt;1,"ID重复","字段齐备")))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10" t="str">
        <x:f>IF(COUNTA(A137:M137)=0,"",IF(OR(A137="",B137="",C137="",D137="",E137="",F137="",G137="",H137="",I137="",J137="",M137=""),"缺必填",IF(COUNTIF($A$2:$A$201,A137)&gt;1,"ID重复","字段齐备")))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10" t="str">
        <x:f>IF(COUNTA(A138:M138)=0,"",IF(OR(A138="",B138="",C138="",D138="",E138="",F138="",G138="",H138="",I138="",J138="",M138=""),"缺必填",IF(COUNTIF($A$2:$A$201,A138)&gt;1,"ID重复","字段齐备")))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10" t="str">
        <x:f>IF(COUNTA(A139:M139)=0,"",IF(OR(A139="",B139="",C139="",D139="",E139="",F139="",G139="",H139="",I139="",J139="",M139=""),"缺必填",IF(COUNTIF($A$2:$A$201,A139)&gt;1,"ID重复","字段齐备")))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10" t="str">
        <x:f>IF(COUNTA(A140:M140)=0,"",IF(OR(A140="",B140="",C140="",D140="",E140="",F140="",G140="",H140="",I140="",J140="",M140=""),"缺必填",IF(COUNTIF($A$2:$A$201,A140)&gt;1,"ID重复","字段齐备")))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10" t="str">
        <x:f>IF(COUNTA(A141:M141)=0,"",IF(OR(A141="",B141="",C141="",D141="",E141="",F141="",G141="",H141="",I141="",J141="",M141=""),"缺必填",IF(COUNTIF($A$2:$A$201,A141)&gt;1,"ID重复","字段齐备")))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10" t="str">
        <x:f>IF(COUNTA(A142:M142)=0,"",IF(OR(A142="",B142="",C142="",D142="",E142="",F142="",G142="",H142="",I142="",J142="",M142=""),"缺必填",IF(COUNTIF($A$2:$A$201,A142)&gt;1,"ID重复","字段齐备")))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10" t="str">
        <x:f>IF(COUNTA(A143:M143)=0,"",IF(OR(A143="",B143="",C143="",D143="",E143="",F143="",G143="",H143="",I143="",J143="",M143=""),"缺必填",IF(COUNTIF($A$2:$A$201,A143)&gt;1,"ID重复","字段齐备")))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10" t="str">
        <x:f>IF(COUNTA(A144:M144)=0,"",IF(OR(A144="",B144="",C144="",D144="",E144="",F144="",G144="",H144="",I144="",J144="",M144=""),"缺必填",IF(COUNTIF($A$2:$A$201,A144)&gt;1,"ID重复","字段齐备")))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10" t="str">
        <x:f>IF(COUNTA(A145:M145)=0,"",IF(OR(A145="",B145="",C145="",D145="",E145="",F145="",G145="",H145="",I145="",J145="",M145=""),"缺必填",IF(COUNTIF($A$2:$A$201,A145)&gt;1,"ID重复","字段齐备")))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10" t="str">
        <x:f>IF(COUNTA(A146:M146)=0,"",IF(OR(A146="",B146="",C146="",D146="",E146="",F146="",G146="",H146="",I146="",J146="",M146=""),"缺必填",IF(COUNTIF($A$2:$A$201,A146)&gt;1,"ID重复","字段齐备")))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10" t="str">
        <x:f>IF(COUNTA(A147:M147)=0,"",IF(OR(A147="",B147="",C147="",D147="",E147="",F147="",G147="",H147="",I147="",J147="",M147=""),"缺必填",IF(COUNTIF($A$2:$A$201,A147)&gt;1,"ID重复","字段齐备")))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10" t="str">
        <x:f>IF(COUNTA(A148:M148)=0,"",IF(OR(A148="",B148="",C148="",D148="",E148="",F148="",G148="",H148="",I148="",J148="",M148=""),"缺必填",IF(COUNTIF($A$2:$A$201,A148)&gt;1,"ID重复","字段齐备")))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10" t="str">
        <x:f>IF(COUNTA(A149:M149)=0,"",IF(OR(A149="",B149="",C149="",D149="",E149="",F149="",G149="",H149="",I149="",J149="",M149=""),"缺必填",IF(COUNTIF($A$2:$A$201,A149)&gt;1,"ID重复","字段齐备")))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10" t="str">
        <x:f>IF(COUNTA(A150:M150)=0,"",IF(OR(A150="",B150="",C150="",D150="",E150="",F150="",G150="",H150="",I150="",J150="",M150=""),"缺必填",IF(COUNTIF($A$2:$A$201,A150)&gt;1,"ID重复","字段齐备")))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10" t="str">
        <x:f>IF(COUNTA(A151:M151)=0,"",IF(OR(A151="",B151="",C151="",D151="",E151="",F151="",G151="",H151="",I151="",J151="",M151=""),"缺必填",IF(COUNTIF($A$2:$A$201,A151)&gt;1,"ID重复","字段齐备")))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10" t="str">
        <x:f>IF(COUNTA(A152:M152)=0,"",IF(OR(A152="",B152="",C152="",D152="",E152="",F152="",G152="",H152="",I152="",J152="",M152=""),"缺必填",IF(COUNTIF($A$2:$A$201,A152)&gt;1,"ID重复","字段齐备")))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10" t="str">
        <x:f>IF(COUNTA(A153:M153)=0,"",IF(OR(A153="",B153="",C153="",D153="",E153="",F153="",G153="",H153="",I153="",J153="",M153=""),"缺必填",IF(COUNTIF($A$2:$A$201,A153)&gt;1,"ID重复","字段齐备")))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10" t="str">
        <x:f>IF(COUNTA(A154:M154)=0,"",IF(OR(A154="",B154="",C154="",D154="",E154="",F154="",G154="",H154="",I154="",J154="",M154=""),"缺必填",IF(COUNTIF($A$2:$A$201,A154)&gt;1,"ID重复","字段齐备")))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10" t="str">
        <x:f>IF(COUNTA(A155:M155)=0,"",IF(OR(A155="",B155="",C155="",D155="",E155="",F155="",G155="",H155="",I155="",J155="",M155=""),"缺必填",IF(COUNTIF($A$2:$A$201,A155)&gt;1,"ID重复","字段齐备")))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10" t="str">
        <x:f>IF(COUNTA(A156:M156)=0,"",IF(OR(A156="",B156="",C156="",D156="",E156="",F156="",G156="",H156="",I156="",J156="",M156=""),"缺必填",IF(COUNTIF($A$2:$A$201,A156)&gt;1,"ID重复","字段齐备")))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10" t="str">
        <x:f>IF(COUNTA(A157:M157)=0,"",IF(OR(A157="",B157="",C157="",D157="",E157="",F157="",G157="",H157="",I157="",J157="",M157=""),"缺必填",IF(COUNTIF($A$2:$A$201,A157)&gt;1,"ID重复","字段齐备")))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10" t="str">
        <x:f>IF(COUNTA(A158:M158)=0,"",IF(OR(A158="",B158="",C158="",D158="",E158="",F158="",G158="",H158="",I158="",J158="",M158=""),"缺必填",IF(COUNTIF($A$2:$A$201,A158)&gt;1,"ID重复","字段齐备")))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10" t="str">
        <x:f>IF(COUNTA(A159:M159)=0,"",IF(OR(A159="",B159="",C159="",D159="",E159="",F159="",G159="",H159="",I159="",J159="",M159=""),"缺必填",IF(COUNTIF($A$2:$A$201,A159)&gt;1,"ID重复","字段齐备")))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10" t="str">
        <x:f>IF(COUNTA(A160:M160)=0,"",IF(OR(A160="",B160="",C160="",D160="",E160="",F160="",G160="",H160="",I160="",J160="",M160=""),"缺必填",IF(COUNTIF($A$2:$A$201,A160)&gt;1,"ID重复","字段齐备")))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10" t="str">
        <x:f>IF(COUNTA(A161:M161)=0,"",IF(OR(A161="",B161="",C161="",D161="",E161="",F161="",G161="",H161="",I161="",J161="",M161=""),"缺必填",IF(COUNTIF($A$2:$A$201,A161)&gt;1,"ID重复","字段齐备")))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10" t="str">
        <x:f>IF(COUNTA(A162:M162)=0,"",IF(OR(A162="",B162="",C162="",D162="",E162="",F162="",G162="",H162="",I162="",J162="",M162=""),"缺必填",IF(COUNTIF($A$2:$A$201,A162)&gt;1,"ID重复","字段齐备")))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10" t="str">
        <x:f>IF(COUNTA(A163:M163)=0,"",IF(OR(A163="",B163="",C163="",D163="",E163="",F163="",G163="",H163="",I163="",J163="",M163=""),"缺必填",IF(COUNTIF($A$2:$A$201,A163)&gt;1,"ID重复","字段齐备")))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10" t="str">
        <x:f>IF(COUNTA(A164:M164)=0,"",IF(OR(A164="",B164="",C164="",D164="",E164="",F164="",G164="",H164="",I164="",J164="",M164=""),"缺必填",IF(COUNTIF($A$2:$A$201,A164)&gt;1,"ID重复","字段齐备")))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10" t="str">
        <x:f>IF(COUNTA(A165:M165)=0,"",IF(OR(A165="",B165="",C165="",D165="",E165="",F165="",G165="",H165="",I165="",J165="",M165=""),"缺必填",IF(COUNTIF($A$2:$A$201,A165)&gt;1,"ID重复","字段齐备")))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10" t="str">
        <x:f>IF(COUNTA(A166:M166)=0,"",IF(OR(A166="",B166="",C166="",D166="",E166="",F166="",G166="",H166="",I166="",J166="",M166=""),"缺必填",IF(COUNTIF($A$2:$A$201,A166)&gt;1,"ID重复","字段齐备")))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10" t="str">
        <x:f>IF(COUNTA(A167:M167)=0,"",IF(OR(A167="",B167="",C167="",D167="",E167="",F167="",G167="",H167="",I167="",J167="",M167=""),"缺必填",IF(COUNTIF($A$2:$A$201,A167)&gt;1,"ID重复","字段齐备")))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10" t="str">
        <x:f>IF(COUNTA(A168:M168)=0,"",IF(OR(A168="",B168="",C168="",D168="",E168="",F168="",G168="",H168="",I168="",J168="",M168=""),"缺必填",IF(COUNTIF($A$2:$A$201,A168)&gt;1,"ID重复","字段齐备")))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10" t="str">
        <x:f>IF(COUNTA(A169:M169)=0,"",IF(OR(A169="",B169="",C169="",D169="",E169="",F169="",G169="",H169="",I169="",J169="",M169=""),"缺必填",IF(COUNTIF($A$2:$A$201,A169)&gt;1,"ID重复","字段齐备")))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10" t="str">
        <x:f>IF(COUNTA(A170:M170)=0,"",IF(OR(A170="",B170="",C170="",D170="",E170="",F170="",G170="",H170="",I170="",J170="",M170=""),"缺必填",IF(COUNTIF($A$2:$A$201,A170)&gt;1,"ID重复","字段齐备")))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10" t="str">
        <x:f>IF(COUNTA(A171:M171)=0,"",IF(OR(A171="",B171="",C171="",D171="",E171="",F171="",G171="",H171="",I171="",J171="",M171=""),"缺必填",IF(COUNTIF($A$2:$A$201,A171)&gt;1,"ID重复","字段齐备")))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10" t="str">
        <x:f>IF(COUNTA(A172:M172)=0,"",IF(OR(A172="",B172="",C172="",D172="",E172="",F172="",G172="",H172="",I172="",J172="",M172=""),"缺必填",IF(COUNTIF($A$2:$A$201,A172)&gt;1,"ID重复","字段齐备")))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10" t="str">
        <x:f>IF(COUNTA(A173:M173)=0,"",IF(OR(A173="",B173="",C173="",D173="",E173="",F173="",G173="",H173="",I173="",J173="",M173=""),"缺必填",IF(COUNTIF($A$2:$A$201,A173)&gt;1,"ID重复","字段齐备")))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10" t="str">
        <x:f>IF(COUNTA(A174:M174)=0,"",IF(OR(A174="",B174="",C174="",D174="",E174="",F174="",G174="",H174="",I174="",J174="",M174=""),"缺必填",IF(COUNTIF($A$2:$A$201,A174)&gt;1,"ID重复","字段齐备")))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10" t="str">
        <x:f>IF(COUNTA(A175:M175)=0,"",IF(OR(A175="",B175="",C175="",D175="",E175="",F175="",G175="",H175="",I175="",J175="",M175=""),"缺必填",IF(COUNTIF($A$2:$A$201,A175)&gt;1,"ID重复","字段齐备")))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10" t="str">
        <x:f>IF(COUNTA(A176:M176)=0,"",IF(OR(A176="",B176="",C176="",D176="",E176="",F176="",G176="",H176="",I176="",J176="",M176=""),"缺必填",IF(COUNTIF($A$2:$A$201,A176)&gt;1,"ID重复","字段齐备")))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10" t="str">
        <x:f>IF(COUNTA(A177:M177)=0,"",IF(OR(A177="",B177="",C177="",D177="",E177="",F177="",G177="",H177="",I177="",J177="",M177=""),"缺必填",IF(COUNTIF($A$2:$A$201,A177)&gt;1,"ID重复","字段齐备")))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10" t="str">
        <x:f>IF(COUNTA(A178:M178)=0,"",IF(OR(A178="",B178="",C178="",D178="",E178="",F178="",G178="",H178="",I178="",J178="",M178=""),"缺必填",IF(COUNTIF($A$2:$A$201,A178)&gt;1,"ID重复","字段齐备")))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10" t="str">
        <x:f>IF(COUNTA(A179:M179)=0,"",IF(OR(A179="",B179="",C179="",D179="",E179="",F179="",G179="",H179="",I179="",J179="",M179=""),"缺必填",IF(COUNTIF($A$2:$A$201,A179)&gt;1,"ID重复","字段齐备")))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10" t="str">
        <x:f>IF(COUNTA(A180:M180)=0,"",IF(OR(A180="",B180="",C180="",D180="",E180="",F180="",G180="",H180="",I180="",J180="",M180=""),"缺必填",IF(COUNTIF($A$2:$A$201,A180)&gt;1,"ID重复","字段齐备")))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10" t="str">
        <x:f>IF(COUNTA(A181:M181)=0,"",IF(OR(A181="",B181="",C181="",D181="",E181="",F181="",G181="",H181="",I181="",J181="",M181=""),"缺必填",IF(COUNTIF($A$2:$A$201,A181)&gt;1,"ID重复","字段齐备")))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10" t="str">
        <x:f>IF(COUNTA(A182:M182)=0,"",IF(OR(A182="",B182="",C182="",D182="",E182="",F182="",G182="",H182="",I182="",J182="",M182=""),"缺必填",IF(COUNTIF($A$2:$A$201,A182)&gt;1,"ID重复","字段齐备")))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10" t="str">
        <x:f>IF(COUNTA(A183:M183)=0,"",IF(OR(A183="",B183="",C183="",D183="",E183="",F183="",G183="",H183="",I183="",J183="",M183=""),"缺必填",IF(COUNTIF($A$2:$A$201,A183)&gt;1,"ID重复","字段齐备")))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10" t="str">
        <x:f>IF(COUNTA(A184:M184)=0,"",IF(OR(A184="",B184="",C184="",D184="",E184="",F184="",G184="",H184="",I184="",J184="",M184=""),"缺必填",IF(COUNTIF($A$2:$A$201,A184)&gt;1,"ID重复","字段齐备")))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10" t="str">
        <x:f>IF(COUNTA(A185:M185)=0,"",IF(OR(A185="",B185="",C185="",D185="",E185="",F185="",G185="",H185="",I185="",J185="",M185=""),"缺必填",IF(COUNTIF($A$2:$A$201,A185)&gt;1,"ID重复","字段齐备")))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10" t="str">
        <x:f>IF(COUNTA(A186:M186)=0,"",IF(OR(A186="",B186="",C186="",D186="",E186="",F186="",G186="",H186="",I186="",J186="",M186=""),"缺必填",IF(COUNTIF($A$2:$A$201,A186)&gt;1,"ID重复","字段齐备")))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10" t="str">
        <x:f>IF(COUNTA(A187:M187)=0,"",IF(OR(A187="",B187="",C187="",D187="",E187="",F187="",G187="",H187="",I187="",J187="",M187=""),"缺必填",IF(COUNTIF($A$2:$A$201,A187)&gt;1,"ID重复","字段齐备")))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10" t="str">
        <x:f>IF(COUNTA(A188:M188)=0,"",IF(OR(A188="",B188="",C188="",D188="",E188="",F188="",G188="",H188="",I188="",J188="",M188=""),"缺必填",IF(COUNTIF($A$2:$A$201,A188)&gt;1,"ID重复","字段齐备")))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10" t="str">
        <x:f>IF(COUNTA(A189:M189)=0,"",IF(OR(A189="",B189="",C189="",D189="",E189="",F189="",G189="",H189="",I189="",J189="",M189=""),"缺必填",IF(COUNTIF($A$2:$A$201,A189)&gt;1,"ID重复","字段齐备")))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10" t="str">
        <x:f>IF(COUNTA(A190:M190)=0,"",IF(OR(A190="",B190="",C190="",D190="",E190="",F190="",G190="",H190="",I190="",J190="",M190=""),"缺必填",IF(COUNTIF($A$2:$A$201,A190)&gt;1,"ID重复","字段齐备")))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10" t="str">
        <x:f>IF(COUNTA(A191:M191)=0,"",IF(OR(A191="",B191="",C191="",D191="",E191="",F191="",G191="",H191="",I191="",J191="",M191=""),"缺必填",IF(COUNTIF($A$2:$A$201,A191)&gt;1,"ID重复","字段齐备")))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10" t="str">
        <x:f>IF(COUNTA(A192:M192)=0,"",IF(OR(A192="",B192="",C192="",D192="",E192="",F192="",G192="",H192="",I192="",J192="",M192=""),"缺必填",IF(COUNTIF($A$2:$A$201,A192)&gt;1,"ID重复","字段齐备")))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10" t="str">
        <x:f>IF(COUNTA(A193:M193)=0,"",IF(OR(A193="",B193="",C193="",D193="",E193="",F193="",G193="",H193="",I193="",J193="",M193=""),"缺必填",IF(COUNTIF($A$2:$A$201,A193)&gt;1,"ID重复","字段齐备")))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10" t="str">
        <x:f>IF(COUNTA(A194:M194)=0,"",IF(OR(A194="",B194="",C194="",D194="",E194="",F194="",G194="",H194="",I194="",J194="",M194=""),"缺必填",IF(COUNTIF($A$2:$A$201,A194)&gt;1,"ID重复","字段齐备")))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10" t="str">
        <x:f>IF(COUNTA(A195:M195)=0,"",IF(OR(A195="",B195="",C195="",D195="",E195="",F195="",G195="",H195="",I195="",J195="",M195=""),"缺必填",IF(COUNTIF($A$2:$A$201,A195)&gt;1,"ID重复","字段齐备")))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10" t="str">
        <x:f>IF(COUNTA(A196:M196)=0,"",IF(OR(A196="",B196="",C196="",D196="",E196="",F196="",G196="",H196="",I196="",J196="",M196=""),"缺必填",IF(COUNTIF($A$2:$A$201,A196)&gt;1,"ID重复","字段齐备")))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10" t="str">
        <x:f>IF(COUNTA(A197:M197)=0,"",IF(OR(A197="",B197="",C197="",D197="",E197="",F197="",G197="",H197="",I197="",J197="",M197=""),"缺必填",IF(COUNTIF($A$2:$A$201,A197)&gt;1,"ID重复","字段齐备")))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10" t="str">
        <x:f>IF(COUNTA(A198:M198)=0,"",IF(OR(A198="",B198="",C198="",D198="",E198="",F198="",G198="",H198="",I198="",J198="",M198=""),"缺必填",IF(COUNTIF($A$2:$A$201,A198)&gt;1,"ID重复","字段齐备")))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10" t="str">
        <x:f>IF(COUNTA(A199:M199)=0,"",IF(OR(A199="",B199="",C199="",D199="",E199="",F199="",G199="",H199="",I199="",J199="",M199=""),"缺必填",IF(COUNTIF($A$2:$A$201,A199)&gt;1,"ID重复","字段齐备")))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10" t="str">
        <x:f>IF(COUNTA(A200:M200)=0,"",IF(OR(A200="",B200="",C200="",D200="",E200="",F200="",G200="",H200="",I200="",J200="",M200=""),"缺必填",IF(COUNTIF($A$2:$A$201,A200)&gt;1,"ID重复","字段齐备")))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10" t="str">
        <x:f>IF(COUNTA(A201:M201)=0,"",IF(OR(A201="",B201="",C201="",D201="",E201="",F201="",G201="",H201="",I201="",J201="",M201=""),"缺必填",IF(COUNTIF($A$2:$A$201,A201)&gt;1,"ID重复","字段齐备")))</x:f>
      </x:c>
    </x:row>
  </x:sheetData>
  <x:conditionalFormatting sqref="A2:N201">
    <x:cfRule type="expression" dxfId="1" priority="1">
      <x:formula>AND($N2&lt;&gt;"",$N2&lt;&gt;"字段齐备")</x:formula>
    </x:cfRule>
  </x:conditionalFormatting>
  <x:dataValidations count="3">
    <x:dataValidation type="list" sqref="D2:D201">
      <x:formula1>"裁判文书派生,专家审核编辑,有过程凭据的阶段材料"</x:formula1>
    </x:dataValidation>
    <x:dataValidation type="list" sqref="E2:E201">
      <x:formula1>"待核,允许内部研究,允许公开,不允许使用"</x:formula1>
    </x:dataValidation>
    <x:dataValidation type="list" sqref="G2:G201">
      <x:formula1>"未分配,开发,测试,隔离不用"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f9fdc1ae2a4b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0" hidden="0" customWidth="1"/>
  </x:cols>
  <x:sheetData>
    <x:row r="1" ht="52" customHeight="1">
      <x:c r="A1" s="6" t="str">
        <x:v>材料ID</x:v>
      </x:c>
      <x:c r="B1" s="6" t="str">
        <x:v>案件ID</x:v>
      </x:c>
      <x:c r="C1" s="6" t="str">
        <x:v>材料类型</x:v>
      </x:c>
      <x:c r="D1" s="6" t="str">
        <x:v>脱敏文件名</x:v>
      </x:c>
      <x:c r="E1" s="6" t="str">
        <x:v>文件SHA256</x:v>
      </x:c>
      <x:c r="F1" s="6" t="str">
        <x:v>原始出处ID</x:v>
      </x:c>
      <x:c r="G1" s="6" t="str">
        <x:v>材料版本</x:v>
      </x:c>
      <x:c r="H1" s="6" t="str">
        <x:v>首次可见阶段</x:v>
      </x:c>
      <x:c r="I1" s="6" t="str">
        <x:v>成文时间原文</x:v>
      </x:c>
      <x:c r="J1" s="6" t="str">
        <x:v>收集时间原文</x:v>
      </x:c>
      <x:c r="K1" s="6" t="str">
        <x:v>来源状态</x:v>
      </x:c>
      <x:c r="L1" s="6" t="str">
        <x:v>替代材料ID</x:v>
      </x:c>
      <x:c r="M1" s="6" t="str">
        <x:v>替代范围</x:v>
      </x:c>
      <x:c r="N1" s="6" t="str">
        <x:v>解析方式版本</x:v>
      </x:c>
      <x:c r="O1" s="6" t="str">
        <x:v>核验状态</x:v>
      </x:c>
      <x:c r="P1" s="6" t="str">
        <x:v>访问范围</x:v>
      </x:c>
      <x:c r="Q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10" t="str">
        <x:f>IF(COUNTA(A2:P2)=0,"",IF(OR(A2="",B2="",C2="",D2="",E2="",F2="",G2="",H2="",I2="",K2="",N2="",O2="",P2=""),"缺必填",IF(COUNTIF($A$2:$A$201,A2)&gt;1,"ID重复",IF(COUNTIF('案件'!$A$2:$A$201,B2)&lt;&gt;1,"案件ID无效",IF(LEN(E2)&lt;&gt;64,"哈希长度错误","字段齐备")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10" t="str">
        <x:f>IF(COUNTA(A3:P3)=0,"",IF(OR(A3="",B3="",C3="",D3="",E3="",F3="",G3="",H3="",I3="",K3="",N3="",O3="",P3=""),"缺必填",IF(COUNTIF($A$2:$A$201,A3)&gt;1,"ID重复",IF(COUNTIF('案件'!$A$2:$A$201,B3)&lt;&gt;1,"案件ID无效",IF(LEN(E3)&lt;&gt;64,"哈希长度错误","字段齐备")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10" t="str">
        <x:f>IF(COUNTA(A4:P4)=0,"",IF(OR(A4="",B4="",C4="",D4="",E4="",F4="",G4="",H4="",I4="",K4="",N4="",O4="",P4=""),"缺必填",IF(COUNTIF($A$2:$A$201,A4)&gt;1,"ID重复",IF(COUNTIF('案件'!$A$2:$A$201,B4)&lt;&gt;1,"案件ID无效",IF(LEN(E4)&lt;&gt;64,"哈希长度错误","字段齐备")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10" t="str">
        <x:f>IF(COUNTA(A5:P5)=0,"",IF(OR(A5="",B5="",C5="",D5="",E5="",F5="",G5="",H5="",I5="",K5="",N5="",O5="",P5=""),"缺必填",IF(COUNTIF($A$2:$A$201,A5)&gt;1,"ID重复",IF(COUNTIF('案件'!$A$2:$A$201,B5)&lt;&gt;1,"案件ID无效",IF(LEN(E5)&lt;&gt;64,"哈希长度错误","字段齐备")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10" t="str">
        <x:f>IF(COUNTA(A6:P6)=0,"",IF(OR(A6="",B6="",C6="",D6="",E6="",F6="",G6="",H6="",I6="",K6="",N6="",O6="",P6=""),"缺必填",IF(COUNTIF($A$2:$A$201,A6)&gt;1,"ID重复",IF(COUNTIF('案件'!$A$2:$A$201,B6)&lt;&gt;1,"案件ID无效",IF(LEN(E6)&lt;&gt;64,"哈希长度错误","字段齐备")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10" t="str">
        <x:f>IF(COUNTA(A7:P7)=0,"",IF(OR(A7="",B7="",C7="",D7="",E7="",F7="",G7="",H7="",I7="",K7="",N7="",O7="",P7=""),"缺必填",IF(COUNTIF($A$2:$A$201,A7)&gt;1,"ID重复",IF(COUNTIF('案件'!$A$2:$A$201,B7)&lt;&gt;1,"案件ID无效",IF(LEN(E7)&lt;&gt;64,"哈希长度错误","字段齐备")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10" t="str">
        <x:f>IF(COUNTA(A8:P8)=0,"",IF(OR(A8="",B8="",C8="",D8="",E8="",F8="",G8="",H8="",I8="",K8="",N8="",O8="",P8=""),"缺必填",IF(COUNTIF($A$2:$A$201,A8)&gt;1,"ID重复",IF(COUNTIF('案件'!$A$2:$A$201,B8)&lt;&gt;1,"案件ID无效",IF(LEN(E8)&lt;&gt;64,"哈希长度错误","字段齐备")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10" t="str">
        <x:f>IF(COUNTA(A9:P9)=0,"",IF(OR(A9="",B9="",C9="",D9="",E9="",F9="",G9="",H9="",I9="",K9="",N9="",O9="",P9=""),"缺必填",IF(COUNTIF($A$2:$A$201,A9)&gt;1,"ID重复",IF(COUNTIF('案件'!$A$2:$A$201,B9)&lt;&gt;1,"案件ID无效",IF(LEN(E9)&lt;&gt;64,"哈希长度错误","字段齐备")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10" t="str">
        <x:f>IF(COUNTA(A10:P10)=0,"",IF(OR(A10="",B10="",C10="",D10="",E10="",F10="",G10="",H10="",I10="",K10="",N10="",O10="",P10=""),"缺必填",IF(COUNTIF($A$2:$A$201,A10)&gt;1,"ID重复",IF(COUNTIF('案件'!$A$2:$A$201,B10)&lt;&gt;1,"案件ID无效",IF(LEN(E10)&lt;&gt;64,"哈希长度错误","字段齐备")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10" t="str">
        <x:f>IF(COUNTA(A11:P11)=0,"",IF(OR(A11="",B11="",C11="",D11="",E11="",F11="",G11="",H11="",I11="",K11="",N11="",O11="",P11=""),"缺必填",IF(COUNTIF($A$2:$A$201,A11)&gt;1,"ID重复",IF(COUNTIF('案件'!$A$2:$A$201,B11)&lt;&gt;1,"案件ID无效",IF(LEN(E11)&lt;&gt;64,"哈希长度错误","字段齐备")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10" t="str">
        <x:f>IF(COUNTA(A12:P12)=0,"",IF(OR(A12="",B12="",C12="",D12="",E12="",F12="",G12="",H12="",I12="",K12="",N12="",O12="",P12=""),"缺必填",IF(COUNTIF($A$2:$A$201,A12)&gt;1,"ID重复",IF(COUNTIF('案件'!$A$2:$A$201,B12)&lt;&gt;1,"案件ID无效",IF(LEN(E12)&lt;&gt;64,"哈希长度错误","字段齐备")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10" t="str">
        <x:f>IF(COUNTA(A13:P13)=0,"",IF(OR(A13="",B13="",C13="",D13="",E13="",F13="",G13="",H13="",I13="",K13="",N13="",O13="",P13=""),"缺必填",IF(COUNTIF($A$2:$A$201,A13)&gt;1,"ID重复",IF(COUNTIF('案件'!$A$2:$A$201,B13)&lt;&gt;1,"案件ID无效",IF(LEN(E13)&lt;&gt;64,"哈希长度错误","字段齐备")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10" t="str">
        <x:f>IF(COUNTA(A14:P14)=0,"",IF(OR(A14="",B14="",C14="",D14="",E14="",F14="",G14="",H14="",I14="",K14="",N14="",O14="",P14=""),"缺必填",IF(COUNTIF($A$2:$A$201,A14)&gt;1,"ID重复",IF(COUNTIF('案件'!$A$2:$A$201,B14)&lt;&gt;1,"案件ID无效",IF(LEN(E14)&lt;&gt;64,"哈希长度错误","字段齐备")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10" t="str">
        <x:f>IF(COUNTA(A15:P15)=0,"",IF(OR(A15="",B15="",C15="",D15="",E15="",F15="",G15="",H15="",I15="",K15="",N15="",O15="",P15=""),"缺必填",IF(COUNTIF($A$2:$A$201,A15)&gt;1,"ID重复",IF(COUNTIF('案件'!$A$2:$A$201,B15)&lt;&gt;1,"案件ID无效",IF(LEN(E15)&lt;&gt;64,"哈希长度错误","字段齐备")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10" t="str">
        <x:f>IF(COUNTA(A16:P16)=0,"",IF(OR(A16="",B16="",C16="",D16="",E16="",F16="",G16="",H16="",I16="",K16="",N16="",O16="",P16=""),"缺必填",IF(COUNTIF($A$2:$A$201,A16)&gt;1,"ID重复",IF(COUNTIF('案件'!$A$2:$A$201,B16)&lt;&gt;1,"案件ID无效",IF(LEN(E16)&lt;&gt;64,"哈希长度错误","字段齐备")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10" t="str">
        <x:f>IF(COUNTA(A17:P17)=0,"",IF(OR(A17="",B17="",C17="",D17="",E17="",F17="",G17="",H17="",I17="",K17="",N17="",O17="",P17=""),"缺必填",IF(COUNTIF($A$2:$A$201,A17)&gt;1,"ID重复",IF(COUNTIF('案件'!$A$2:$A$201,B17)&lt;&gt;1,"案件ID无效",IF(LEN(E17)&lt;&gt;64,"哈希长度错误","字段齐备")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10" t="str">
        <x:f>IF(COUNTA(A18:P18)=0,"",IF(OR(A18="",B18="",C18="",D18="",E18="",F18="",G18="",H18="",I18="",K18="",N18="",O18="",P18=""),"缺必填",IF(COUNTIF($A$2:$A$201,A18)&gt;1,"ID重复",IF(COUNTIF('案件'!$A$2:$A$201,B18)&lt;&gt;1,"案件ID无效",IF(LEN(E18)&lt;&gt;64,"哈希长度错误","字段齐备")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10" t="str">
        <x:f>IF(COUNTA(A19:P19)=0,"",IF(OR(A19="",B19="",C19="",D19="",E19="",F19="",G19="",H19="",I19="",K19="",N19="",O19="",P19=""),"缺必填",IF(COUNTIF($A$2:$A$201,A19)&gt;1,"ID重复",IF(COUNTIF('案件'!$A$2:$A$201,B19)&lt;&gt;1,"案件ID无效",IF(LEN(E19)&lt;&gt;64,"哈希长度错误","字段齐备")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10" t="str">
        <x:f>IF(COUNTA(A20:P20)=0,"",IF(OR(A20="",B20="",C20="",D20="",E20="",F20="",G20="",H20="",I20="",K20="",N20="",O20="",P20=""),"缺必填",IF(COUNTIF($A$2:$A$201,A20)&gt;1,"ID重复",IF(COUNTIF('案件'!$A$2:$A$201,B20)&lt;&gt;1,"案件ID无效",IF(LEN(E20)&lt;&gt;64,"哈希长度错误","字段齐备")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10" t="str">
        <x:f>IF(COUNTA(A21:P21)=0,"",IF(OR(A21="",B21="",C21="",D21="",E21="",F21="",G21="",H21="",I21="",K21="",N21="",O21="",P21=""),"缺必填",IF(COUNTIF($A$2:$A$201,A21)&gt;1,"ID重复",IF(COUNTIF('案件'!$A$2:$A$201,B21)&lt;&gt;1,"案件ID无效",IF(LEN(E21)&lt;&gt;64,"哈希长度错误","字段齐备")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10" t="str">
        <x:f>IF(COUNTA(A22:P22)=0,"",IF(OR(A22="",B22="",C22="",D22="",E22="",F22="",G22="",H22="",I22="",K22="",N22="",O22="",P22=""),"缺必填",IF(COUNTIF($A$2:$A$201,A22)&gt;1,"ID重复",IF(COUNTIF('案件'!$A$2:$A$201,B22)&lt;&gt;1,"案件ID无效",IF(LEN(E22)&lt;&gt;64,"哈希长度错误","字段齐备")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10" t="str">
        <x:f>IF(COUNTA(A23:P23)=0,"",IF(OR(A23="",B23="",C23="",D23="",E23="",F23="",G23="",H23="",I23="",K23="",N23="",O23="",P23=""),"缺必填",IF(COUNTIF($A$2:$A$201,A23)&gt;1,"ID重复",IF(COUNTIF('案件'!$A$2:$A$201,B23)&lt;&gt;1,"案件ID无效",IF(LEN(E23)&lt;&gt;64,"哈希长度错误","字段齐备")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10" t="str">
        <x:f>IF(COUNTA(A24:P24)=0,"",IF(OR(A24="",B24="",C24="",D24="",E24="",F24="",G24="",H24="",I24="",K24="",N24="",O24="",P24=""),"缺必填",IF(COUNTIF($A$2:$A$201,A24)&gt;1,"ID重复",IF(COUNTIF('案件'!$A$2:$A$201,B24)&lt;&gt;1,"案件ID无效",IF(LEN(E24)&lt;&gt;64,"哈希长度错误","字段齐备")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10" t="str">
        <x:f>IF(COUNTA(A25:P25)=0,"",IF(OR(A25="",B25="",C25="",D25="",E25="",F25="",G25="",H25="",I25="",K25="",N25="",O25="",P25=""),"缺必填",IF(COUNTIF($A$2:$A$201,A25)&gt;1,"ID重复",IF(COUNTIF('案件'!$A$2:$A$201,B25)&lt;&gt;1,"案件ID无效",IF(LEN(E25)&lt;&gt;64,"哈希长度错误","字段齐备")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10" t="str">
        <x:f>IF(COUNTA(A26:P26)=0,"",IF(OR(A26="",B26="",C26="",D26="",E26="",F26="",G26="",H26="",I26="",K26="",N26="",O26="",P26=""),"缺必填",IF(COUNTIF($A$2:$A$201,A26)&gt;1,"ID重复",IF(COUNTIF('案件'!$A$2:$A$201,B26)&lt;&gt;1,"案件ID无效",IF(LEN(E26)&lt;&gt;64,"哈希长度错误","字段齐备")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10" t="str">
        <x:f>IF(COUNTA(A27:P27)=0,"",IF(OR(A27="",B27="",C27="",D27="",E27="",F27="",G27="",H27="",I27="",K27="",N27="",O27="",P27=""),"缺必填",IF(COUNTIF($A$2:$A$201,A27)&gt;1,"ID重复",IF(COUNTIF('案件'!$A$2:$A$201,B27)&lt;&gt;1,"案件ID无效",IF(LEN(E27)&lt;&gt;64,"哈希长度错误","字段齐备")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10" t="str">
        <x:f>IF(COUNTA(A28:P28)=0,"",IF(OR(A28="",B28="",C28="",D28="",E28="",F28="",G28="",H28="",I28="",K28="",N28="",O28="",P28=""),"缺必填",IF(COUNTIF($A$2:$A$201,A28)&gt;1,"ID重复",IF(COUNTIF('案件'!$A$2:$A$201,B28)&lt;&gt;1,"案件ID无效",IF(LEN(E28)&lt;&gt;64,"哈希长度错误","字段齐备")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10" t="str">
        <x:f>IF(COUNTA(A29:P29)=0,"",IF(OR(A29="",B29="",C29="",D29="",E29="",F29="",G29="",H29="",I29="",K29="",N29="",O29="",P29=""),"缺必填",IF(COUNTIF($A$2:$A$201,A29)&gt;1,"ID重复",IF(COUNTIF('案件'!$A$2:$A$201,B29)&lt;&gt;1,"案件ID无效",IF(LEN(E29)&lt;&gt;64,"哈希长度错误","字段齐备")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10" t="str">
        <x:f>IF(COUNTA(A30:P30)=0,"",IF(OR(A30="",B30="",C30="",D30="",E30="",F30="",G30="",H30="",I30="",K30="",N30="",O30="",P30=""),"缺必填",IF(COUNTIF($A$2:$A$201,A30)&gt;1,"ID重复",IF(COUNTIF('案件'!$A$2:$A$201,B30)&lt;&gt;1,"案件ID无效",IF(LEN(E30)&lt;&gt;64,"哈希长度错误","字段齐备")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10" t="str">
        <x:f>IF(COUNTA(A31:P31)=0,"",IF(OR(A31="",B31="",C31="",D31="",E31="",F31="",G31="",H31="",I31="",K31="",N31="",O31="",P31=""),"缺必填",IF(COUNTIF($A$2:$A$201,A31)&gt;1,"ID重复",IF(COUNTIF('案件'!$A$2:$A$201,B31)&lt;&gt;1,"案件ID无效",IF(LEN(E31)&lt;&gt;64,"哈希长度错误","字段齐备")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10" t="str">
        <x:f>IF(COUNTA(A32:P32)=0,"",IF(OR(A32="",B32="",C32="",D32="",E32="",F32="",G32="",H32="",I32="",K32="",N32="",O32="",P32=""),"缺必填",IF(COUNTIF($A$2:$A$201,A32)&gt;1,"ID重复",IF(COUNTIF('案件'!$A$2:$A$201,B32)&lt;&gt;1,"案件ID无效",IF(LEN(E32)&lt;&gt;64,"哈希长度错误","字段齐备")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10" t="str">
        <x:f>IF(COUNTA(A33:P33)=0,"",IF(OR(A33="",B33="",C33="",D33="",E33="",F33="",G33="",H33="",I33="",K33="",N33="",O33="",P33=""),"缺必填",IF(COUNTIF($A$2:$A$201,A33)&gt;1,"ID重复",IF(COUNTIF('案件'!$A$2:$A$201,B33)&lt;&gt;1,"案件ID无效",IF(LEN(E33)&lt;&gt;64,"哈希长度错误","字段齐备")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10" t="str">
        <x:f>IF(COUNTA(A34:P34)=0,"",IF(OR(A34="",B34="",C34="",D34="",E34="",F34="",G34="",H34="",I34="",K34="",N34="",O34="",P34=""),"缺必填",IF(COUNTIF($A$2:$A$201,A34)&gt;1,"ID重复",IF(COUNTIF('案件'!$A$2:$A$201,B34)&lt;&gt;1,"案件ID无效",IF(LEN(E34)&lt;&gt;64,"哈希长度错误","字段齐备")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10" t="str">
        <x:f>IF(COUNTA(A35:P35)=0,"",IF(OR(A35="",B35="",C35="",D35="",E35="",F35="",G35="",H35="",I35="",K35="",N35="",O35="",P35=""),"缺必填",IF(COUNTIF($A$2:$A$201,A35)&gt;1,"ID重复",IF(COUNTIF('案件'!$A$2:$A$201,B35)&lt;&gt;1,"案件ID无效",IF(LEN(E35)&lt;&gt;64,"哈希长度错误","字段齐备")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10" t="str">
        <x:f>IF(COUNTA(A36:P36)=0,"",IF(OR(A36="",B36="",C36="",D36="",E36="",F36="",G36="",H36="",I36="",K36="",N36="",O36="",P36=""),"缺必填",IF(COUNTIF($A$2:$A$201,A36)&gt;1,"ID重复",IF(COUNTIF('案件'!$A$2:$A$201,B36)&lt;&gt;1,"案件ID无效",IF(LEN(E36)&lt;&gt;64,"哈希长度错误","字段齐备")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10" t="str">
        <x:f>IF(COUNTA(A37:P37)=0,"",IF(OR(A37="",B37="",C37="",D37="",E37="",F37="",G37="",H37="",I37="",K37="",N37="",O37="",P37=""),"缺必填",IF(COUNTIF($A$2:$A$201,A37)&gt;1,"ID重复",IF(COUNTIF('案件'!$A$2:$A$201,B37)&lt;&gt;1,"案件ID无效",IF(LEN(E37)&lt;&gt;64,"哈希长度错误","字段齐备")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10" t="str">
        <x:f>IF(COUNTA(A38:P38)=0,"",IF(OR(A38="",B38="",C38="",D38="",E38="",F38="",G38="",H38="",I38="",K38="",N38="",O38="",P38=""),"缺必填",IF(COUNTIF($A$2:$A$201,A38)&gt;1,"ID重复",IF(COUNTIF('案件'!$A$2:$A$201,B38)&lt;&gt;1,"案件ID无效",IF(LEN(E38)&lt;&gt;64,"哈希长度错误","字段齐备")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10" t="str">
        <x:f>IF(COUNTA(A39:P39)=0,"",IF(OR(A39="",B39="",C39="",D39="",E39="",F39="",G39="",H39="",I39="",K39="",N39="",O39="",P39=""),"缺必填",IF(COUNTIF($A$2:$A$201,A39)&gt;1,"ID重复",IF(COUNTIF('案件'!$A$2:$A$201,B39)&lt;&gt;1,"案件ID无效",IF(LEN(E39)&lt;&gt;64,"哈希长度错误","字段齐备")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10" t="str">
        <x:f>IF(COUNTA(A40:P40)=0,"",IF(OR(A40="",B40="",C40="",D40="",E40="",F40="",G40="",H40="",I40="",K40="",N40="",O40="",P40=""),"缺必填",IF(COUNTIF($A$2:$A$201,A40)&gt;1,"ID重复",IF(COUNTIF('案件'!$A$2:$A$201,B40)&lt;&gt;1,"案件ID无效",IF(LEN(E40)&lt;&gt;64,"哈希长度错误","字段齐备")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10" t="str">
        <x:f>IF(COUNTA(A41:P41)=0,"",IF(OR(A41="",B41="",C41="",D41="",E41="",F41="",G41="",H41="",I41="",K41="",N41="",O41="",P41=""),"缺必填",IF(COUNTIF($A$2:$A$201,A41)&gt;1,"ID重复",IF(COUNTIF('案件'!$A$2:$A$201,B41)&lt;&gt;1,"案件ID无效",IF(LEN(E41)&lt;&gt;64,"哈希长度错误","字段齐备")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10" t="str">
        <x:f>IF(COUNTA(A42:P42)=0,"",IF(OR(A42="",B42="",C42="",D42="",E42="",F42="",G42="",H42="",I42="",K42="",N42="",O42="",P42=""),"缺必填",IF(COUNTIF($A$2:$A$201,A42)&gt;1,"ID重复",IF(COUNTIF('案件'!$A$2:$A$201,B42)&lt;&gt;1,"案件ID无效",IF(LEN(E42)&lt;&gt;64,"哈希长度错误","字段齐备")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10" t="str">
        <x:f>IF(COUNTA(A43:P43)=0,"",IF(OR(A43="",B43="",C43="",D43="",E43="",F43="",G43="",H43="",I43="",K43="",N43="",O43="",P43=""),"缺必填",IF(COUNTIF($A$2:$A$201,A43)&gt;1,"ID重复",IF(COUNTIF('案件'!$A$2:$A$201,B43)&lt;&gt;1,"案件ID无效",IF(LEN(E43)&lt;&gt;64,"哈希长度错误","字段齐备")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10" t="str">
        <x:f>IF(COUNTA(A44:P44)=0,"",IF(OR(A44="",B44="",C44="",D44="",E44="",F44="",G44="",H44="",I44="",K44="",N44="",O44="",P44=""),"缺必填",IF(COUNTIF($A$2:$A$201,A44)&gt;1,"ID重复",IF(COUNTIF('案件'!$A$2:$A$201,B44)&lt;&gt;1,"案件ID无效",IF(LEN(E44)&lt;&gt;64,"哈希长度错误","字段齐备")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10" t="str">
        <x:f>IF(COUNTA(A45:P45)=0,"",IF(OR(A45="",B45="",C45="",D45="",E45="",F45="",G45="",H45="",I45="",K45="",N45="",O45="",P45=""),"缺必填",IF(COUNTIF($A$2:$A$201,A45)&gt;1,"ID重复",IF(COUNTIF('案件'!$A$2:$A$201,B45)&lt;&gt;1,"案件ID无效",IF(LEN(E45)&lt;&gt;64,"哈希长度错误","字段齐备")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10" t="str">
        <x:f>IF(COUNTA(A46:P46)=0,"",IF(OR(A46="",B46="",C46="",D46="",E46="",F46="",G46="",H46="",I46="",K46="",N46="",O46="",P46=""),"缺必填",IF(COUNTIF($A$2:$A$201,A46)&gt;1,"ID重复",IF(COUNTIF('案件'!$A$2:$A$201,B46)&lt;&gt;1,"案件ID无效",IF(LEN(E46)&lt;&gt;64,"哈希长度错误","字段齐备")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10" t="str">
        <x:f>IF(COUNTA(A47:P47)=0,"",IF(OR(A47="",B47="",C47="",D47="",E47="",F47="",G47="",H47="",I47="",K47="",N47="",O47="",P47=""),"缺必填",IF(COUNTIF($A$2:$A$201,A47)&gt;1,"ID重复",IF(COUNTIF('案件'!$A$2:$A$201,B47)&lt;&gt;1,"案件ID无效",IF(LEN(E47)&lt;&gt;64,"哈希长度错误","字段齐备")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10" t="str">
        <x:f>IF(COUNTA(A48:P48)=0,"",IF(OR(A48="",B48="",C48="",D48="",E48="",F48="",G48="",H48="",I48="",K48="",N48="",O48="",P48=""),"缺必填",IF(COUNTIF($A$2:$A$201,A48)&gt;1,"ID重复",IF(COUNTIF('案件'!$A$2:$A$201,B48)&lt;&gt;1,"案件ID无效",IF(LEN(E48)&lt;&gt;64,"哈希长度错误","字段齐备")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10" t="str">
        <x:f>IF(COUNTA(A49:P49)=0,"",IF(OR(A49="",B49="",C49="",D49="",E49="",F49="",G49="",H49="",I49="",K49="",N49="",O49="",P49=""),"缺必填",IF(COUNTIF($A$2:$A$201,A49)&gt;1,"ID重复",IF(COUNTIF('案件'!$A$2:$A$201,B49)&lt;&gt;1,"案件ID无效",IF(LEN(E49)&lt;&gt;64,"哈希长度错误","字段齐备")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10" t="str">
        <x:f>IF(COUNTA(A50:P50)=0,"",IF(OR(A50="",B50="",C50="",D50="",E50="",F50="",G50="",H50="",I50="",K50="",N50="",O50="",P50=""),"缺必填",IF(COUNTIF($A$2:$A$201,A50)&gt;1,"ID重复",IF(COUNTIF('案件'!$A$2:$A$201,B50)&lt;&gt;1,"案件ID无效",IF(LEN(E50)&lt;&gt;64,"哈希长度错误","字段齐备")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10" t="str">
        <x:f>IF(COUNTA(A51:P51)=0,"",IF(OR(A51="",B51="",C51="",D51="",E51="",F51="",G51="",H51="",I51="",K51="",N51="",O51="",P51=""),"缺必填",IF(COUNTIF($A$2:$A$201,A51)&gt;1,"ID重复",IF(COUNTIF('案件'!$A$2:$A$201,B51)&lt;&gt;1,"案件ID无效",IF(LEN(E51)&lt;&gt;64,"哈希长度错误","字段齐备")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10" t="str">
        <x:f>IF(COUNTA(A52:P52)=0,"",IF(OR(A52="",B52="",C52="",D52="",E52="",F52="",G52="",H52="",I52="",K52="",N52="",O52="",P52=""),"缺必填",IF(COUNTIF($A$2:$A$201,A52)&gt;1,"ID重复",IF(COUNTIF('案件'!$A$2:$A$201,B52)&lt;&gt;1,"案件ID无效",IF(LEN(E52)&lt;&gt;64,"哈希长度错误","字段齐备")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10" t="str">
        <x:f>IF(COUNTA(A53:P53)=0,"",IF(OR(A53="",B53="",C53="",D53="",E53="",F53="",G53="",H53="",I53="",K53="",N53="",O53="",P53=""),"缺必填",IF(COUNTIF($A$2:$A$201,A53)&gt;1,"ID重复",IF(COUNTIF('案件'!$A$2:$A$201,B53)&lt;&gt;1,"案件ID无效",IF(LEN(E53)&lt;&gt;64,"哈希长度错误","字段齐备")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10" t="str">
        <x:f>IF(COUNTA(A54:P54)=0,"",IF(OR(A54="",B54="",C54="",D54="",E54="",F54="",G54="",H54="",I54="",K54="",N54="",O54="",P54=""),"缺必填",IF(COUNTIF($A$2:$A$201,A54)&gt;1,"ID重复",IF(COUNTIF('案件'!$A$2:$A$201,B54)&lt;&gt;1,"案件ID无效",IF(LEN(E54)&lt;&gt;64,"哈希长度错误","字段齐备")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10" t="str">
        <x:f>IF(COUNTA(A55:P55)=0,"",IF(OR(A55="",B55="",C55="",D55="",E55="",F55="",G55="",H55="",I55="",K55="",N55="",O55="",P55=""),"缺必填",IF(COUNTIF($A$2:$A$201,A55)&gt;1,"ID重复",IF(COUNTIF('案件'!$A$2:$A$201,B55)&lt;&gt;1,"案件ID无效",IF(LEN(E55)&lt;&gt;64,"哈希长度错误","字段齐备")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10" t="str">
        <x:f>IF(COUNTA(A56:P56)=0,"",IF(OR(A56="",B56="",C56="",D56="",E56="",F56="",G56="",H56="",I56="",K56="",N56="",O56="",P56=""),"缺必填",IF(COUNTIF($A$2:$A$201,A56)&gt;1,"ID重复",IF(COUNTIF('案件'!$A$2:$A$201,B56)&lt;&gt;1,"案件ID无效",IF(LEN(E56)&lt;&gt;64,"哈希长度错误","字段齐备")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10" t="str">
        <x:f>IF(COUNTA(A57:P57)=0,"",IF(OR(A57="",B57="",C57="",D57="",E57="",F57="",G57="",H57="",I57="",K57="",N57="",O57="",P57=""),"缺必填",IF(COUNTIF($A$2:$A$201,A57)&gt;1,"ID重复",IF(COUNTIF('案件'!$A$2:$A$201,B57)&lt;&gt;1,"案件ID无效",IF(LEN(E57)&lt;&gt;64,"哈希长度错误","字段齐备")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10" t="str">
        <x:f>IF(COUNTA(A58:P58)=0,"",IF(OR(A58="",B58="",C58="",D58="",E58="",F58="",G58="",H58="",I58="",K58="",N58="",O58="",P58=""),"缺必填",IF(COUNTIF($A$2:$A$201,A58)&gt;1,"ID重复",IF(COUNTIF('案件'!$A$2:$A$201,B58)&lt;&gt;1,"案件ID无效",IF(LEN(E58)&lt;&gt;64,"哈希长度错误","字段齐备")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10" t="str">
        <x:f>IF(COUNTA(A59:P59)=0,"",IF(OR(A59="",B59="",C59="",D59="",E59="",F59="",G59="",H59="",I59="",K59="",N59="",O59="",P59=""),"缺必填",IF(COUNTIF($A$2:$A$201,A59)&gt;1,"ID重复",IF(COUNTIF('案件'!$A$2:$A$201,B59)&lt;&gt;1,"案件ID无效",IF(LEN(E59)&lt;&gt;64,"哈希长度错误","字段齐备")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10" t="str">
        <x:f>IF(COUNTA(A60:P60)=0,"",IF(OR(A60="",B60="",C60="",D60="",E60="",F60="",G60="",H60="",I60="",K60="",N60="",O60="",P60=""),"缺必填",IF(COUNTIF($A$2:$A$201,A60)&gt;1,"ID重复",IF(COUNTIF('案件'!$A$2:$A$201,B60)&lt;&gt;1,"案件ID无效",IF(LEN(E60)&lt;&gt;64,"哈希长度错误","字段齐备")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10" t="str">
        <x:f>IF(COUNTA(A61:P61)=0,"",IF(OR(A61="",B61="",C61="",D61="",E61="",F61="",G61="",H61="",I61="",K61="",N61="",O61="",P61=""),"缺必填",IF(COUNTIF($A$2:$A$201,A61)&gt;1,"ID重复",IF(COUNTIF('案件'!$A$2:$A$201,B61)&lt;&gt;1,"案件ID无效",IF(LEN(E61)&lt;&gt;64,"哈希长度错误","字段齐备")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10" t="str">
        <x:f>IF(COUNTA(A62:P62)=0,"",IF(OR(A62="",B62="",C62="",D62="",E62="",F62="",G62="",H62="",I62="",K62="",N62="",O62="",P62=""),"缺必填",IF(COUNTIF($A$2:$A$201,A62)&gt;1,"ID重复",IF(COUNTIF('案件'!$A$2:$A$201,B62)&lt;&gt;1,"案件ID无效",IF(LEN(E62)&lt;&gt;64,"哈希长度错误","字段齐备")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10" t="str">
        <x:f>IF(COUNTA(A63:P63)=0,"",IF(OR(A63="",B63="",C63="",D63="",E63="",F63="",G63="",H63="",I63="",K63="",N63="",O63="",P63=""),"缺必填",IF(COUNTIF($A$2:$A$201,A63)&gt;1,"ID重复",IF(COUNTIF('案件'!$A$2:$A$201,B63)&lt;&gt;1,"案件ID无效",IF(LEN(E63)&lt;&gt;64,"哈希长度错误","字段齐备")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10" t="str">
        <x:f>IF(COUNTA(A64:P64)=0,"",IF(OR(A64="",B64="",C64="",D64="",E64="",F64="",G64="",H64="",I64="",K64="",N64="",O64="",P64=""),"缺必填",IF(COUNTIF($A$2:$A$201,A64)&gt;1,"ID重复",IF(COUNTIF('案件'!$A$2:$A$201,B64)&lt;&gt;1,"案件ID无效",IF(LEN(E64)&lt;&gt;64,"哈希长度错误","字段齐备")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10" t="str">
        <x:f>IF(COUNTA(A65:P65)=0,"",IF(OR(A65="",B65="",C65="",D65="",E65="",F65="",G65="",H65="",I65="",K65="",N65="",O65="",P65=""),"缺必填",IF(COUNTIF($A$2:$A$201,A65)&gt;1,"ID重复",IF(COUNTIF('案件'!$A$2:$A$201,B65)&lt;&gt;1,"案件ID无效",IF(LEN(E65)&lt;&gt;64,"哈希长度错误","字段齐备")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10" t="str">
        <x:f>IF(COUNTA(A66:P66)=0,"",IF(OR(A66="",B66="",C66="",D66="",E66="",F66="",G66="",H66="",I66="",K66="",N66="",O66="",P66=""),"缺必填",IF(COUNTIF($A$2:$A$201,A66)&gt;1,"ID重复",IF(COUNTIF('案件'!$A$2:$A$201,B66)&lt;&gt;1,"案件ID无效",IF(LEN(E66)&lt;&gt;64,"哈希长度错误","字段齐备")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10" t="str">
        <x:f>IF(COUNTA(A67:P67)=0,"",IF(OR(A67="",B67="",C67="",D67="",E67="",F67="",G67="",H67="",I67="",K67="",N67="",O67="",P67=""),"缺必填",IF(COUNTIF($A$2:$A$201,A67)&gt;1,"ID重复",IF(COUNTIF('案件'!$A$2:$A$201,B67)&lt;&gt;1,"案件ID无效",IF(LEN(E67)&lt;&gt;64,"哈希长度错误","字段齐备")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10" t="str">
        <x:f>IF(COUNTA(A68:P68)=0,"",IF(OR(A68="",B68="",C68="",D68="",E68="",F68="",G68="",H68="",I68="",K68="",N68="",O68="",P68=""),"缺必填",IF(COUNTIF($A$2:$A$201,A68)&gt;1,"ID重复",IF(COUNTIF('案件'!$A$2:$A$201,B68)&lt;&gt;1,"案件ID无效",IF(LEN(E68)&lt;&gt;64,"哈希长度错误","字段齐备")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10" t="str">
        <x:f>IF(COUNTA(A69:P69)=0,"",IF(OR(A69="",B69="",C69="",D69="",E69="",F69="",G69="",H69="",I69="",K69="",N69="",O69="",P69=""),"缺必填",IF(COUNTIF($A$2:$A$201,A69)&gt;1,"ID重复",IF(COUNTIF('案件'!$A$2:$A$201,B69)&lt;&gt;1,"案件ID无效",IF(LEN(E69)&lt;&gt;64,"哈希长度错误","字段齐备")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10" t="str">
        <x:f>IF(COUNTA(A70:P70)=0,"",IF(OR(A70="",B70="",C70="",D70="",E70="",F70="",G70="",H70="",I70="",K70="",N70="",O70="",P70=""),"缺必填",IF(COUNTIF($A$2:$A$201,A70)&gt;1,"ID重复",IF(COUNTIF('案件'!$A$2:$A$201,B70)&lt;&gt;1,"案件ID无效",IF(LEN(E70)&lt;&gt;64,"哈希长度错误","字段齐备")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10" t="str">
        <x:f>IF(COUNTA(A71:P71)=0,"",IF(OR(A71="",B71="",C71="",D71="",E71="",F71="",G71="",H71="",I71="",K71="",N71="",O71="",P71=""),"缺必填",IF(COUNTIF($A$2:$A$201,A71)&gt;1,"ID重复",IF(COUNTIF('案件'!$A$2:$A$201,B71)&lt;&gt;1,"案件ID无效",IF(LEN(E71)&lt;&gt;64,"哈希长度错误","字段齐备")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10" t="str">
        <x:f>IF(COUNTA(A72:P72)=0,"",IF(OR(A72="",B72="",C72="",D72="",E72="",F72="",G72="",H72="",I72="",K72="",N72="",O72="",P72=""),"缺必填",IF(COUNTIF($A$2:$A$201,A72)&gt;1,"ID重复",IF(COUNTIF('案件'!$A$2:$A$201,B72)&lt;&gt;1,"案件ID无效",IF(LEN(E72)&lt;&gt;64,"哈希长度错误","字段齐备")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10" t="str">
        <x:f>IF(COUNTA(A73:P73)=0,"",IF(OR(A73="",B73="",C73="",D73="",E73="",F73="",G73="",H73="",I73="",K73="",N73="",O73="",P73=""),"缺必填",IF(COUNTIF($A$2:$A$201,A73)&gt;1,"ID重复",IF(COUNTIF('案件'!$A$2:$A$201,B73)&lt;&gt;1,"案件ID无效",IF(LEN(E73)&lt;&gt;64,"哈希长度错误","字段齐备")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10" t="str">
        <x:f>IF(COUNTA(A74:P74)=0,"",IF(OR(A74="",B74="",C74="",D74="",E74="",F74="",G74="",H74="",I74="",K74="",N74="",O74="",P74=""),"缺必填",IF(COUNTIF($A$2:$A$201,A74)&gt;1,"ID重复",IF(COUNTIF('案件'!$A$2:$A$201,B74)&lt;&gt;1,"案件ID无效",IF(LEN(E74)&lt;&gt;64,"哈希长度错误","字段齐备")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10" t="str">
        <x:f>IF(COUNTA(A75:P75)=0,"",IF(OR(A75="",B75="",C75="",D75="",E75="",F75="",G75="",H75="",I75="",K75="",N75="",O75="",P75=""),"缺必填",IF(COUNTIF($A$2:$A$201,A75)&gt;1,"ID重复",IF(COUNTIF('案件'!$A$2:$A$201,B75)&lt;&gt;1,"案件ID无效",IF(LEN(E75)&lt;&gt;64,"哈希长度错误","字段齐备")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10" t="str">
        <x:f>IF(COUNTA(A76:P76)=0,"",IF(OR(A76="",B76="",C76="",D76="",E76="",F76="",G76="",H76="",I76="",K76="",N76="",O76="",P76=""),"缺必填",IF(COUNTIF($A$2:$A$201,A76)&gt;1,"ID重复",IF(COUNTIF('案件'!$A$2:$A$201,B76)&lt;&gt;1,"案件ID无效",IF(LEN(E76)&lt;&gt;64,"哈希长度错误","字段齐备")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10" t="str">
        <x:f>IF(COUNTA(A77:P77)=0,"",IF(OR(A77="",B77="",C77="",D77="",E77="",F77="",G77="",H77="",I77="",K77="",N77="",O77="",P77=""),"缺必填",IF(COUNTIF($A$2:$A$201,A77)&gt;1,"ID重复",IF(COUNTIF('案件'!$A$2:$A$201,B77)&lt;&gt;1,"案件ID无效",IF(LEN(E77)&lt;&gt;64,"哈希长度错误","字段齐备")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10" t="str">
        <x:f>IF(COUNTA(A78:P78)=0,"",IF(OR(A78="",B78="",C78="",D78="",E78="",F78="",G78="",H78="",I78="",K78="",N78="",O78="",P78=""),"缺必填",IF(COUNTIF($A$2:$A$201,A78)&gt;1,"ID重复",IF(COUNTIF('案件'!$A$2:$A$201,B78)&lt;&gt;1,"案件ID无效",IF(LEN(E78)&lt;&gt;64,"哈希长度错误","字段齐备")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10" t="str">
        <x:f>IF(COUNTA(A79:P79)=0,"",IF(OR(A79="",B79="",C79="",D79="",E79="",F79="",G79="",H79="",I79="",K79="",N79="",O79="",P79=""),"缺必填",IF(COUNTIF($A$2:$A$201,A79)&gt;1,"ID重复",IF(COUNTIF('案件'!$A$2:$A$201,B79)&lt;&gt;1,"案件ID无效",IF(LEN(E79)&lt;&gt;64,"哈希长度错误","字段齐备")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10" t="str">
        <x:f>IF(COUNTA(A80:P80)=0,"",IF(OR(A80="",B80="",C80="",D80="",E80="",F80="",G80="",H80="",I80="",K80="",N80="",O80="",P80=""),"缺必填",IF(COUNTIF($A$2:$A$201,A80)&gt;1,"ID重复",IF(COUNTIF('案件'!$A$2:$A$201,B80)&lt;&gt;1,"案件ID无效",IF(LEN(E80)&lt;&gt;64,"哈希长度错误","字段齐备")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10" t="str">
        <x:f>IF(COUNTA(A81:P81)=0,"",IF(OR(A81="",B81="",C81="",D81="",E81="",F81="",G81="",H81="",I81="",K81="",N81="",O81="",P81=""),"缺必填",IF(COUNTIF($A$2:$A$201,A81)&gt;1,"ID重复",IF(COUNTIF('案件'!$A$2:$A$201,B81)&lt;&gt;1,"案件ID无效",IF(LEN(E81)&lt;&gt;64,"哈希长度错误","字段齐备")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10" t="str">
        <x:f>IF(COUNTA(A82:P82)=0,"",IF(OR(A82="",B82="",C82="",D82="",E82="",F82="",G82="",H82="",I82="",K82="",N82="",O82="",P82=""),"缺必填",IF(COUNTIF($A$2:$A$201,A82)&gt;1,"ID重复",IF(COUNTIF('案件'!$A$2:$A$201,B82)&lt;&gt;1,"案件ID无效",IF(LEN(E82)&lt;&gt;64,"哈希长度错误","字段齐备")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10" t="str">
        <x:f>IF(COUNTA(A83:P83)=0,"",IF(OR(A83="",B83="",C83="",D83="",E83="",F83="",G83="",H83="",I83="",K83="",N83="",O83="",P83=""),"缺必填",IF(COUNTIF($A$2:$A$201,A83)&gt;1,"ID重复",IF(COUNTIF('案件'!$A$2:$A$201,B83)&lt;&gt;1,"案件ID无效",IF(LEN(E83)&lt;&gt;64,"哈希长度错误","字段齐备")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10" t="str">
        <x:f>IF(COUNTA(A84:P84)=0,"",IF(OR(A84="",B84="",C84="",D84="",E84="",F84="",G84="",H84="",I84="",K84="",N84="",O84="",P84=""),"缺必填",IF(COUNTIF($A$2:$A$201,A84)&gt;1,"ID重复",IF(COUNTIF('案件'!$A$2:$A$201,B84)&lt;&gt;1,"案件ID无效",IF(LEN(E84)&lt;&gt;64,"哈希长度错误","字段齐备")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10" t="str">
        <x:f>IF(COUNTA(A85:P85)=0,"",IF(OR(A85="",B85="",C85="",D85="",E85="",F85="",G85="",H85="",I85="",K85="",N85="",O85="",P85=""),"缺必填",IF(COUNTIF($A$2:$A$201,A85)&gt;1,"ID重复",IF(COUNTIF('案件'!$A$2:$A$201,B85)&lt;&gt;1,"案件ID无效",IF(LEN(E85)&lt;&gt;64,"哈希长度错误","字段齐备")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10" t="str">
        <x:f>IF(COUNTA(A86:P86)=0,"",IF(OR(A86="",B86="",C86="",D86="",E86="",F86="",G86="",H86="",I86="",K86="",N86="",O86="",P86=""),"缺必填",IF(COUNTIF($A$2:$A$201,A86)&gt;1,"ID重复",IF(COUNTIF('案件'!$A$2:$A$201,B86)&lt;&gt;1,"案件ID无效",IF(LEN(E86)&lt;&gt;64,"哈希长度错误","字段齐备")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10" t="str">
        <x:f>IF(COUNTA(A87:P87)=0,"",IF(OR(A87="",B87="",C87="",D87="",E87="",F87="",G87="",H87="",I87="",K87="",N87="",O87="",P87=""),"缺必填",IF(COUNTIF($A$2:$A$201,A87)&gt;1,"ID重复",IF(COUNTIF('案件'!$A$2:$A$201,B87)&lt;&gt;1,"案件ID无效",IF(LEN(E87)&lt;&gt;64,"哈希长度错误","字段齐备")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10" t="str">
        <x:f>IF(COUNTA(A88:P88)=0,"",IF(OR(A88="",B88="",C88="",D88="",E88="",F88="",G88="",H88="",I88="",K88="",N88="",O88="",P88=""),"缺必填",IF(COUNTIF($A$2:$A$201,A88)&gt;1,"ID重复",IF(COUNTIF('案件'!$A$2:$A$201,B88)&lt;&gt;1,"案件ID无效",IF(LEN(E88)&lt;&gt;64,"哈希长度错误","字段齐备")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10" t="str">
        <x:f>IF(COUNTA(A89:P89)=0,"",IF(OR(A89="",B89="",C89="",D89="",E89="",F89="",G89="",H89="",I89="",K89="",N89="",O89="",P89=""),"缺必填",IF(COUNTIF($A$2:$A$201,A89)&gt;1,"ID重复",IF(COUNTIF('案件'!$A$2:$A$201,B89)&lt;&gt;1,"案件ID无效",IF(LEN(E89)&lt;&gt;64,"哈希长度错误","字段齐备")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10" t="str">
        <x:f>IF(COUNTA(A90:P90)=0,"",IF(OR(A90="",B90="",C90="",D90="",E90="",F90="",G90="",H90="",I90="",K90="",N90="",O90="",P90=""),"缺必填",IF(COUNTIF($A$2:$A$201,A90)&gt;1,"ID重复",IF(COUNTIF('案件'!$A$2:$A$201,B90)&lt;&gt;1,"案件ID无效",IF(LEN(E90)&lt;&gt;64,"哈希长度错误","字段齐备")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10" t="str">
        <x:f>IF(COUNTA(A91:P91)=0,"",IF(OR(A91="",B91="",C91="",D91="",E91="",F91="",G91="",H91="",I91="",K91="",N91="",O91="",P91=""),"缺必填",IF(COUNTIF($A$2:$A$201,A91)&gt;1,"ID重复",IF(COUNTIF('案件'!$A$2:$A$201,B91)&lt;&gt;1,"案件ID无效",IF(LEN(E91)&lt;&gt;64,"哈希长度错误","字段齐备")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10" t="str">
        <x:f>IF(COUNTA(A92:P92)=0,"",IF(OR(A92="",B92="",C92="",D92="",E92="",F92="",G92="",H92="",I92="",K92="",N92="",O92="",P92=""),"缺必填",IF(COUNTIF($A$2:$A$201,A92)&gt;1,"ID重复",IF(COUNTIF('案件'!$A$2:$A$201,B92)&lt;&gt;1,"案件ID无效",IF(LEN(E92)&lt;&gt;64,"哈希长度错误","字段齐备")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10" t="str">
        <x:f>IF(COUNTA(A93:P93)=0,"",IF(OR(A93="",B93="",C93="",D93="",E93="",F93="",G93="",H93="",I93="",K93="",N93="",O93="",P93=""),"缺必填",IF(COUNTIF($A$2:$A$201,A93)&gt;1,"ID重复",IF(COUNTIF('案件'!$A$2:$A$201,B93)&lt;&gt;1,"案件ID无效",IF(LEN(E93)&lt;&gt;64,"哈希长度错误","字段齐备")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10" t="str">
        <x:f>IF(COUNTA(A94:P94)=0,"",IF(OR(A94="",B94="",C94="",D94="",E94="",F94="",G94="",H94="",I94="",K94="",N94="",O94="",P94=""),"缺必填",IF(COUNTIF($A$2:$A$201,A94)&gt;1,"ID重复",IF(COUNTIF('案件'!$A$2:$A$201,B94)&lt;&gt;1,"案件ID无效",IF(LEN(E94)&lt;&gt;64,"哈希长度错误","字段齐备")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10" t="str">
        <x:f>IF(COUNTA(A95:P95)=0,"",IF(OR(A95="",B95="",C95="",D95="",E95="",F95="",G95="",H95="",I95="",K95="",N95="",O95="",P95=""),"缺必填",IF(COUNTIF($A$2:$A$201,A95)&gt;1,"ID重复",IF(COUNTIF('案件'!$A$2:$A$201,B95)&lt;&gt;1,"案件ID无效",IF(LEN(E95)&lt;&gt;64,"哈希长度错误","字段齐备")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10" t="str">
        <x:f>IF(COUNTA(A96:P96)=0,"",IF(OR(A96="",B96="",C96="",D96="",E96="",F96="",G96="",H96="",I96="",K96="",N96="",O96="",P96=""),"缺必填",IF(COUNTIF($A$2:$A$201,A96)&gt;1,"ID重复",IF(COUNTIF('案件'!$A$2:$A$201,B96)&lt;&gt;1,"案件ID无效",IF(LEN(E96)&lt;&gt;64,"哈希长度错误","字段齐备")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10" t="str">
        <x:f>IF(COUNTA(A97:P97)=0,"",IF(OR(A97="",B97="",C97="",D97="",E97="",F97="",G97="",H97="",I97="",K97="",N97="",O97="",P97=""),"缺必填",IF(COUNTIF($A$2:$A$201,A97)&gt;1,"ID重复",IF(COUNTIF('案件'!$A$2:$A$201,B97)&lt;&gt;1,"案件ID无效",IF(LEN(E97)&lt;&gt;64,"哈希长度错误","字段齐备")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10" t="str">
        <x:f>IF(COUNTA(A98:P98)=0,"",IF(OR(A98="",B98="",C98="",D98="",E98="",F98="",G98="",H98="",I98="",K98="",N98="",O98="",P98=""),"缺必填",IF(COUNTIF($A$2:$A$201,A98)&gt;1,"ID重复",IF(COUNTIF('案件'!$A$2:$A$201,B98)&lt;&gt;1,"案件ID无效",IF(LEN(E98)&lt;&gt;64,"哈希长度错误","字段齐备")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10" t="str">
        <x:f>IF(COUNTA(A99:P99)=0,"",IF(OR(A99="",B99="",C99="",D99="",E99="",F99="",G99="",H99="",I99="",K99="",N99="",O99="",P99=""),"缺必填",IF(COUNTIF($A$2:$A$201,A99)&gt;1,"ID重复",IF(COUNTIF('案件'!$A$2:$A$201,B99)&lt;&gt;1,"案件ID无效",IF(LEN(E99)&lt;&gt;64,"哈希长度错误","字段齐备")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10" t="str">
        <x:f>IF(COUNTA(A100:P100)=0,"",IF(OR(A100="",B100="",C100="",D100="",E100="",F100="",G100="",H100="",I100="",K100="",N100="",O100="",P100=""),"缺必填",IF(COUNTIF($A$2:$A$201,A100)&gt;1,"ID重复",IF(COUNTIF('案件'!$A$2:$A$201,B100)&lt;&gt;1,"案件ID无效",IF(LEN(E100)&lt;&gt;64,"哈希长度错误","字段齐备")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10" t="str">
        <x:f>IF(COUNTA(A101:P101)=0,"",IF(OR(A101="",B101="",C101="",D101="",E101="",F101="",G101="",H101="",I101="",K101="",N101="",O101="",P101=""),"缺必填",IF(COUNTIF($A$2:$A$201,A101)&gt;1,"ID重复",IF(COUNTIF('案件'!$A$2:$A$201,B101)&lt;&gt;1,"案件ID无效",IF(LEN(E101)&lt;&gt;64,"哈希长度错误","字段齐备")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10" t="str">
        <x:f>IF(COUNTA(A102:P102)=0,"",IF(OR(A102="",B102="",C102="",D102="",E102="",F102="",G102="",H102="",I102="",K102="",N102="",O102="",P102=""),"缺必填",IF(COUNTIF($A$2:$A$201,A102)&gt;1,"ID重复",IF(COUNTIF('案件'!$A$2:$A$201,B102)&lt;&gt;1,"案件ID无效",IF(LEN(E102)&lt;&gt;64,"哈希长度错误","字段齐备")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10" t="str">
        <x:f>IF(COUNTA(A103:P103)=0,"",IF(OR(A103="",B103="",C103="",D103="",E103="",F103="",G103="",H103="",I103="",K103="",N103="",O103="",P103=""),"缺必填",IF(COUNTIF($A$2:$A$201,A103)&gt;1,"ID重复",IF(COUNTIF('案件'!$A$2:$A$201,B103)&lt;&gt;1,"案件ID无效",IF(LEN(E103)&lt;&gt;64,"哈希长度错误","字段齐备")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10" t="str">
        <x:f>IF(COUNTA(A104:P104)=0,"",IF(OR(A104="",B104="",C104="",D104="",E104="",F104="",G104="",H104="",I104="",K104="",N104="",O104="",P104=""),"缺必填",IF(COUNTIF($A$2:$A$201,A104)&gt;1,"ID重复",IF(COUNTIF('案件'!$A$2:$A$201,B104)&lt;&gt;1,"案件ID无效",IF(LEN(E104)&lt;&gt;64,"哈希长度错误","字段齐备")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10" t="str">
        <x:f>IF(COUNTA(A105:P105)=0,"",IF(OR(A105="",B105="",C105="",D105="",E105="",F105="",G105="",H105="",I105="",K105="",N105="",O105="",P105=""),"缺必填",IF(COUNTIF($A$2:$A$201,A105)&gt;1,"ID重复",IF(COUNTIF('案件'!$A$2:$A$201,B105)&lt;&gt;1,"案件ID无效",IF(LEN(E105)&lt;&gt;64,"哈希长度错误","字段齐备")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10" t="str">
        <x:f>IF(COUNTA(A106:P106)=0,"",IF(OR(A106="",B106="",C106="",D106="",E106="",F106="",G106="",H106="",I106="",K106="",N106="",O106="",P106=""),"缺必填",IF(COUNTIF($A$2:$A$201,A106)&gt;1,"ID重复",IF(COUNTIF('案件'!$A$2:$A$201,B106)&lt;&gt;1,"案件ID无效",IF(LEN(E106)&lt;&gt;64,"哈希长度错误","字段齐备")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10" t="str">
        <x:f>IF(COUNTA(A107:P107)=0,"",IF(OR(A107="",B107="",C107="",D107="",E107="",F107="",G107="",H107="",I107="",K107="",N107="",O107="",P107=""),"缺必填",IF(COUNTIF($A$2:$A$201,A107)&gt;1,"ID重复",IF(COUNTIF('案件'!$A$2:$A$201,B107)&lt;&gt;1,"案件ID无效",IF(LEN(E107)&lt;&gt;64,"哈希长度错误","字段齐备")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10" t="str">
        <x:f>IF(COUNTA(A108:P108)=0,"",IF(OR(A108="",B108="",C108="",D108="",E108="",F108="",G108="",H108="",I108="",K108="",N108="",O108="",P108=""),"缺必填",IF(COUNTIF($A$2:$A$201,A108)&gt;1,"ID重复",IF(COUNTIF('案件'!$A$2:$A$201,B108)&lt;&gt;1,"案件ID无效",IF(LEN(E108)&lt;&gt;64,"哈希长度错误","字段齐备")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10" t="str">
        <x:f>IF(COUNTA(A109:P109)=0,"",IF(OR(A109="",B109="",C109="",D109="",E109="",F109="",G109="",H109="",I109="",K109="",N109="",O109="",P109=""),"缺必填",IF(COUNTIF($A$2:$A$201,A109)&gt;1,"ID重复",IF(COUNTIF('案件'!$A$2:$A$201,B109)&lt;&gt;1,"案件ID无效",IF(LEN(E109)&lt;&gt;64,"哈希长度错误","字段齐备")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10" t="str">
        <x:f>IF(COUNTA(A110:P110)=0,"",IF(OR(A110="",B110="",C110="",D110="",E110="",F110="",G110="",H110="",I110="",K110="",N110="",O110="",P110=""),"缺必填",IF(COUNTIF($A$2:$A$201,A110)&gt;1,"ID重复",IF(COUNTIF('案件'!$A$2:$A$201,B110)&lt;&gt;1,"案件ID无效",IF(LEN(E110)&lt;&gt;64,"哈希长度错误","字段齐备")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10" t="str">
        <x:f>IF(COUNTA(A111:P111)=0,"",IF(OR(A111="",B111="",C111="",D111="",E111="",F111="",G111="",H111="",I111="",K111="",N111="",O111="",P111=""),"缺必填",IF(COUNTIF($A$2:$A$201,A111)&gt;1,"ID重复",IF(COUNTIF('案件'!$A$2:$A$201,B111)&lt;&gt;1,"案件ID无效",IF(LEN(E111)&lt;&gt;64,"哈希长度错误","字段齐备")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10" t="str">
        <x:f>IF(COUNTA(A112:P112)=0,"",IF(OR(A112="",B112="",C112="",D112="",E112="",F112="",G112="",H112="",I112="",K112="",N112="",O112="",P112=""),"缺必填",IF(COUNTIF($A$2:$A$201,A112)&gt;1,"ID重复",IF(COUNTIF('案件'!$A$2:$A$201,B112)&lt;&gt;1,"案件ID无效",IF(LEN(E112)&lt;&gt;64,"哈希长度错误","字段齐备")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10" t="str">
        <x:f>IF(COUNTA(A113:P113)=0,"",IF(OR(A113="",B113="",C113="",D113="",E113="",F113="",G113="",H113="",I113="",K113="",N113="",O113="",P113=""),"缺必填",IF(COUNTIF($A$2:$A$201,A113)&gt;1,"ID重复",IF(COUNTIF('案件'!$A$2:$A$201,B113)&lt;&gt;1,"案件ID无效",IF(LEN(E113)&lt;&gt;64,"哈希长度错误","字段齐备")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10" t="str">
        <x:f>IF(COUNTA(A114:P114)=0,"",IF(OR(A114="",B114="",C114="",D114="",E114="",F114="",G114="",H114="",I114="",K114="",N114="",O114="",P114=""),"缺必填",IF(COUNTIF($A$2:$A$201,A114)&gt;1,"ID重复",IF(COUNTIF('案件'!$A$2:$A$201,B114)&lt;&gt;1,"案件ID无效",IF(LEN(E114)&lt;&gt;64,"哈希长度错误","字段齐备")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10" t="str">
        <x:f>IF(COUNTA(A115:P115)=0,"",IF(OR(A115="",B115="",C115="",D115="",E115="",F115="",G115="",H115="",I115="",K115="",N115="",O115="",P115=""),"缺必填",IF(COUNTIF($A$2:$A$201,A115)&gt;1,"ID重复",IF(COUNTIF('案件'!$A$2:$A$201,B115)&lt;&gt;1,"案件ID无效",IF(LEN(E115)&lt;&gt;64,"哈希长度错误","字段齐备")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10" t="str">
        <x:f>IF(COUNTA(A116:P116)=0,"",IF(OR(A116="",B116="",C116="",D116="",E116="",F116="",G116="",H116="",I116="",K116="",N116="",O116="",P116=""),"缺必填",IF(COUNTIF($A$2:$A$201,A116)&gt;1,"ID重复",IF(COUNTIF('案件'!$A$2:$A$201,B116)&lt;&gt;1,"案件ID无效",IF(LEN(E116)&lt;&gt;64,"哈希长度错误","字段齐备")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10" t="str">
        <x:f>IF(COUNTA(A117:P117)=0,"",IF(OR(A117="",B117="",C117="",D117="",E117="",F117="",G117="",H117="",I117="",K117="",N117="",O117="",P117=""),"缺必填",IF(COUNTIF($A$2:$A$201,A117)&gt;1,"ID重复",IF(COUNTIF('案件'!$A$2:$A$201,B117)&lt;&gt;1,"案件ID无效",IF(LEN(E117)&lt;&gt;64,"哈希长度错误","字段齐备")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10" t="str">
        <x:f>IF(COUNTA(A118:P118)=0,"",IF(OR(A118="",B118="",C118="",D118="",E118="",F118="",G118="",H118="",I118="",K118="",N118="",O118="",P118=""),"缺必填",IF(COUNTIF($A$2:$A$201,A118)&gt;1,"ID重复",IF(COUNTIF('案件'!$A$2:$A$201,B118)&lt;&gt;1,"案件ID无效",IF(LEN(E118)&lt;&gt;64,"哈希长度错误","字段齐备")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10" t="str">
        <x:f>IF(COUNTA(A119:P119)=0,"",IF(OR(A119="",B119="",C119="",D119="",E119="",F119="",G119="",H119="",I119="",K119="",N119="",O119="",P119=""),"缺必填",IF(COUNTIF($A$2:$A$201,A119)&gt;1,"ID重复",IF(COUNTIF('案件'!$A$2:$A$201,B119)&lt;&gt;1,"案件ID无效",IF(LEN(E119)&lt;&gt;64,"哈希长度错误","字段齐备")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10" t="str">
        <x:f>IF(COUNTA(A120:P120)=0,"",IF(OR(A120="",B120="",C120="",D120="",E120="",F120="",G120="",H120="",I120="",K120="",N120="",O120="",P120=""),"缺必填",IF(COUNTIF($A$2:$A$201,A120)&gt;1,"ID重复",IF(COUNTIF('案件'!$A$2:$A$201,B120)&lt;&gt;1,"案件ID无效",IF(LEN(E120)&lt;&gt;64,"哈希长度错误","字段齐备")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10" t="str">
        <x:f>IF(COUNTA(A121:P121)=0,"",IF(OR(A121="",B121="",C121="",D121="",E121="",F121="",G121="",H121="",I121="",K121="",N121="",O121="",P121=""),"缺必填",IF(COUNTIF($A$2:$A$201,A121)&gt;1,"ID重复",IF(COUNTIF('案件'!$A$2:$A$201,B121)&lt;&gt;1,"案件ID无效",IF(LEN(E121)&lt;&gt;64,"哈希长度错误","字段齐备")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10" t="str">
        <x:f>IF(COUNTA(A122:P122)=0,"",IF(OR(A122="",B122="",C122="",D122="",E122="",F122="",G122="",H122="",I122="",K122="",N122="",O122="",P122=""),"缺必填",IF(COUNTIF($A$2:$A$201,A122)&gt;1,"ID重复",IF(COUNTIF('案件'!$A$2:$A$201,B122)&lt;&gt;1,"案件ID无效",IF(LEN(E122)&lt;&gt;64,"哈希长度错误","字段齐备")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10" t="str">
        <x:f>IF(COUNTA(A123:P123)=0,"",IF(OR(A123="",B123="",C123="",D123="",E123="",F123="",G123="",H123="",I123="",K123="",N123="",O123="",P123=""),"缺必填",IF(COUNTIF($A$2:$A$201,A123)&gt;1,"ID重复",IF(COUNTIF('案件'!$A$2:$A$201,B123)&lt;&gt;1,"案件ID无效",IF(LEN(E123)&lt;&gt;64,"哈希长度错误","字段齐备")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10" t="str">
        <x:f>IF(COUNTA(A124:P124)=0,"",IF(OR(A124="",B124="",C124="",D124="",E124="",F124="",G124="",H124="",I124="",K124="",N124="",O124="",P124=""),"缺必填",IF(COUNTIF($A$2:$A$201,A124)&gt;1,"ID重复",IF(COUNTIF('案件'!$A$2:$A$201,B124)&lt;&gt;1,"案件ID无效",IF(LEN(E124)&lt;&gt;64,"哈希长度错误","字段齐备")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10" t="str">
        <x:f>IF(COUNTA(A125:P125)=0,"",IF(OR(A125="",B125="",C125="",D125="",E125="",F125="",G125="",H125="",I125="",K125="",N125="",O125="",P125=""),"缺必填",IF(COUNTIF($A$2:$A$201,A125)&gt;1,"ID重复",IF(COUNTIF('案件'!$A$2:$A$201,B125)&lt;&gt;1,"案件ID无效",IF(LEN(E125)&lt;&gt;64,"哈希长度错误","字段齐备")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10" t="str">
        <x:f>IF(COUNTA(A126:P126)=0,"",IF(OR(A126="",B126="",C126="",D126="",E126="",F126="",G126="",H126="",I126="",K126="",N126="",O126="",P126=""),"缺必填",IF(COUNTIF($A$2:$A$201,A126)&gt;1,"ID重复",IF(COUNTIF('案件'!$A$2:$A$201,B126)&lt;&gt;1,"案件ID无效",IF(LEN(E126)&lt;&gt;64,"哈希长度错误","字段齐备")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10" t="str">
        <x:f>IF(COUNTA(A127:P127)=0,"",IF(OR(A127="",B127="",C127="",D127="",E127="",F127="",G127="",H127="",I127="",K127="",N127="",O127="",P127=""),"缺必填",IF(COUNTIF($A$2:$A$201,A127)&gt;1,"ID重复",IF(COUNTIF('案件'!$A$2:$A$201,B127)&lt;&gt;1,"案件ID无效",IF(LEN(E127)&lt;&gt;64,"哈希长度错误","字段齐备")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10" t="str">
        <x:f>IF(COUNTA(A128:P128)=0,"",IF(OR(A128="",B128="",C128="",D128="",E128="",F128="",G128="",H128="",I128="",K128="",N128="",O128="",P128=""),"缺必填",IF(COUNTIF($A$2:$A$201,A128)&gt;1,"ID重复",IF(COUNTIF('案件'!$A$2:$A$201,B128)&lt;&gt;1,"案件ID无效",IF(LEN(E128)&lt;&gt;64,"哈希长度错误","字段齐备")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10" t="str">
        <x:f>IF(COUNTA(A129:P129)=0,"",IF(OR(A129="",B129="",C129="",D129="",E129="",F129="",G129="",H129="",I129="",K129="",N129="",O129="",P129=""),"缺必填",IF(COUNTIF($A$2:$A$201,A129)&gt;1,"ID重复",IF(COUNTIF('案件'!$A$2:$A$201,B129)&lt;&gt;1,"案件ID无效",IF(LEN(E129)&lt;&gt;64,"哈希长度错误","字段齐备")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10" t="str">
        <x:f>IF(COUNTA(A130:P130)=0,"",IF(OR(A130="",B130="",C130="",D130="",E130="",F130="",G130="",H130="",I130="",K130="",N130="",O130="",P130=""),"缺必填",IF(COUNTIF($A$2:$A$201,A130)&gt;1,"ID重复",IF(COUNTIF('案件'!$A$2:$A$201,B130)&lt;&gt;1,"案件ID无效",IF(LEN(E130)&lt;&gt;64,"哈希长度错误","字段齐备")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10" t="str">
        <x:f>IF(COUNTA(A131:P131)=0,"",IF(OR(A131="",B131="",C131="",D131="",E131="",F131="",G131="",H131="",I131="",K131="",N131="",O131="",P131=""),"缺必填",IF(COUNTIF($A$2:$A$201,A131)&gt;1,"ID重复",IF(COUNTIF('案件'!$A$2:$A$201,B131)&lt;&gt;1,"案件ID无效",IF(LEN(E131)&lt;&gt;64,"哈希长度错误","字段齐备")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10" t="str">
        <x:f>IF(COUNTA(A132:P132)=0,"",IF(OR(A132="",B132="",C132="",D132="",E132="",F132="",G132="",H132="",I132="",K132="",N132="",O132="",P132=""),"缺必填",IF(COUNTIF($A$2:$A$201,A132)&gt;1,"ID重复",IF(COUNTIF('案件'!$A$2:$A$201,B132)&lt;&gt;1,"案件ID无效",IF(LEN(E132)&lt;&gt;64,"哈希长度错误","字段齐备")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10" t="str">
        <x:f>IF(COUNTA(A133:P133)=0,"",IF(OR(A133="",B133="",C133="",D133="",E133="",F133="",G133="",H133="",I133="",K133="",N133="",O133="",P133=""),"缺必填",IF(COUNTIF($A$2:$A$201,A133)&gt;1,"ID重复",IF(COUNTIF('案件'!$A$2:$A$201,B133)&lt;&gt;1,"案件ID无效",IF(LEN(E133)&lt;&gt;64,"哈希长度错误","字段齐备")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10" t="str">
        <x:f>IF(COUNTA(A134:P134)=0,"",IF(OR(A134="",B134="",C134="",D134="",E134="",F134="",G134="",H134="",I134="",K134="",N134="",O134="",P134=""),"缺必填",IF(COUNTIF($A$2:$A$201,A134)&gt;1,"ID重复",IF(COUNTIF('案件'!$A$2:$A$201,B134)&lt;&gt;1,"案件ID无效",IF(LEN(E134)&lt;&gt;64,"哈希长度错误","字段齐备")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10" t="str">
        <x:f>IF(COUNTA(A135:P135)=0,"",IF(OR(A135="",B135="",C135="",D135="",E135="",F135="",G135="",H135="",I135="",K135="",N135="",O135="",P135=""),"缺必填",IF(COUNTIF($A$2:$A$201,A135)&gt;1,"ID重复",IF(COUNTIF('案件'!$A$2:$A$201,B135)&lt;&gt;1,"案件ID无效",IF(LEN(E135)&lt;&gt;64,"哈希长度错误","字段齐备")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10" t="str">
        <x:f>IF(COUNTA(A136:P136)=0,"",IF(OR(A136="",B136="",C136="",D136="",E136="",F136="",G136="",H136="",I136="",K136="",N136="",O136="",P136=""),"缺必填",IF(COUNTIF($A$2:$A$201,A136)&gt;1,"ID重复",IF(COUNTIF('案件'!$A$2:$A$201,B136)&lt;&gt;1,"案件ID无效",IF(LEN(E136)&lt;&gt;64,"哈希长度错误","字段齐备")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10" t="str">
        <x:f>IF(COUNTA(A137:P137)=0,"",IF(OR(A137="",B137="",C137="",D137="",E137="",F137="",G137="",H137="",I137="",K137="",N137="",O137="",P137=""),"缺必填",IF(COUNTIF($A$2:$A$201,A137)&gt;1,"ID重复",IF(COUNTIF('案件'!$A$2:$A$201,B137)&lt;&gt;1,"案件ID无效",IF(LEN(E137)&lt;&gt;64,"哈希长度错误","字段齐备")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10" t="str">
        <x:f>IF(COUNTA(A138:P138)=0,"",IF(OR(A138="",B138="",C138="",D138="",E138="",F138="",G138="",H138="",I138="",K138="",N138="",O138="",P138=""),"缺必填",IF(COUNTIF($A$2:$A$201,A138)&gt;1,"ID重复",IF(COUNTIF('案件'!$A$2:$A$201,B138)&lt;&gt;1,"案件ID无效",IF(LEN(E138)&lt;&gt;64,"哈希长度错误","字段齐备")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10" t="str">
        <x:f>IF(COUNTA(A139:P139)=0,"",IF(OR(A139="",B139="",C139="",D139="",E139="",F139="",G139="",H139="",I139="",K139="",N139="",O139="",P139=""),"缺必填",IF(COUNTIF($A$2:$A$201,A139)&gt;1,"ID重复",IF(COUNTIF('案件'!$A$2:$A$201,B139)&lt;&gt;1,"案件ID无效",IF(LEN(E139)&lt;&gt;64,"哈希长度错误","字段齐备")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10" t="str">
        <x:f>IF(COUNTA(A140:P140)=0,"",IF(OR(A140="",B140="",C140="",D140="",E140="",F140="",G140="",H140="",I140="",K140="",N140="",O140="",P140=""),"缺必填",IF(COUNTIF($A$2:$A$201,A140)&gt;1,"ID重复",IF(COUNTIF('案件'!$A$2:$A$201,B140)&lt;&gt;1,"案件ID无效",IF(LEN(E140)&lt;&gt;64,"哈希长度错误","字段齐备")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10" t="str">
        <x:f>IF(COUNTA(A141:P141)=0,"",IF(OR(A141="",B141="",C141="",D141="",E141="",F141="",G141="",H141="",I141="",K141="",N141="",O141="",P141=""),"缺必填",IF(COUNTIF($A$2:$A$201,A141)&gt;1,"ID重复",IF(COUNTIF('案件'!$A$2:$A$201,B141)&lt;&gt;1,"案件ID无效",IF(LEN(E141)&lt;&gt;64,"哈希长度错误","字段齐备")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10" t="str">
        <x:f>IF(COUNTA(A142:P142)=0,"",IF(OR(A142="",B142="",C142="",D142="",E142="",F142="",G142="",H142="",I142="",K142="",N142="",O142="",P142=""),"缺必填",IF(COUNTIF($A$2:$A$201,A142)&gt;1,"ID重复",IF(COUNTIF('案件'!$A$2:$A$201,B142)&lt;&gt;1,"案件ID无效",IF(LEN(E142)&lt;&gt;64,"哈希长度错误","字段齐备")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10" t="str">
        <x:f>IF(COUNTA(A143:P143)=0,"",IF(OR(A143="",B143="",C143="",D143="",E143="",F143="",G143="",H143="",I143="",K143="",N143="",O143="",P143=""),"缺必填",IF(COUNTIF($A$2:$A$201,A143)&gt;1,"ID重复",IF(COUNTIF('案件'!$A$2:$A$201,B143)&lt;&gt;1,"案件ID无效",IF(LEN(E143)&lt;&gt;64,"哈希长度错误","字段齐备")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10" t="str">
        <x:f>IF(COUNTA(A144:P144)=0,"",IF(OR(A144="",B144="",C144="",D144="",E144="",F144="",G144="",H144="",I144="",K144="",N144="",O144="",P144=""),"缺必填",IF(COUNTIF($A$2:$A$201,A144)&gt;1,"ID重复",IF(COUNTIF('案件'!$A$2:$A$201,B144)&lt;&gt;1,"案件ID无效",IF(LEN(E144)&lt;&gt;64,"哈希长度错误","字段齐备")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10" t="str">
        <x:f>IF(COUNTA(A145:P145)=0,"",IF(OR(A145="",B145="",C145="",D145="",E145="",F145="",G145="",H145="",I145="",K145="",N145="",O145="",P145=""),"缺必填",IF(COUNTIF($A$2:$A$201,A145)&gt;1,"ID重复",IF(COUNTIF('案件'!$A$2:$A$201,B145)&lt;&gt;1,"案件ID无效",IF(LEN(E145)&lt;&gt;64,"哈希长度错误","字段齐备")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10" t="str">
        <x:f>IF(COUNTA(A146:P146)=0,"",IF(OR(A146="",B146="",C146="",D146="",E146="",F146="",G146="",H146="",I146="",K146="",N146="",O146="",P146=""),"缺必填",IF(COUNTIF($A$2:$A$201,A146)&gt;1,"ID重复",IF(COUNTIF('案件'!$A$2:$A$201,B146)&lt;&gt;1,"案件ID无效",IF(LEN(E146)&lt;&gt;64,"哈希长度错误","字段齐备")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10" t="str">
        <x:f>IF(COUNTA(A147:P147)=0,"",IF(OR(A147="",B147="",C147="",D147="",E147="",F147="",G147="",H147="",I147="",K147="",N147="",O147="",P147=""),"缺必填",IF(COUNTIF($A$2:$A$201,A147)&gt;1,"ID重复",IF(COUNTIF('案件'!$A$2:$A$201,B147)&lt;&gt;1,"案件ID无效",IF(LEN(E147)&lt;&gt;64,"哈希长度错误","字段齐备")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10" t="str">
        <x:f>IF(COUNTA(A148:P148)=0,"",IF(OR(A148="",B148="",C148="",D148="",E148="",F148="",G148="",H148="",I148="",K148="",N148="",O148="",P148=""),"缺必填",IF(COUNTIF($A$2:$A$201,A148)&gt;1,"ID重复",IF(COUNTIF('案件'!$A$2:$A$201,B148)&lt;&gt;1,"案件ID无效",IF(LEN(E148)&lt;&gt;64,"哈希长度错误","字段齐备")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10" t="str">
        <x:f>IF(COUNTA(A149:P149)=0,"",IF(OR(A149="",B149="",C149="",D149="",E149="",F149="",G149="",H149="",I149="",K149="",N149="",O149="",P149=""),"缺必填",IF(COUNTIF($A$2:$A$201,A149)&gt;1,"ID重复",IF(COUNTIF('案件'!$A$2:$A$201,B149)&lt;&gt;1,"案件ID无效",IF(LEN(E149)&lt;&gt;64,"哈希长度错误","字段齐备")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10" t="str">
        <x:f>IF(COUNTA(A150:P150)=0,"",IF(OR(A150="",B150="",C150="",D150="",E150="",F150="",G150="",H150="",I150="",K150="",N150="",O150="",P150=""),"缺必填",IF(COUNTIF($A$2:$A$201,A150)&gt;1,"ID重复",IF(COUNTIF('案件'!$A$2:$A$201,B150)&lt;&gt;1,"案件ID无效",IF(LEN(E150)&lt;&gt;64,"哈希长度错误","字段齐备")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10" t="str">
        <x:f>IF(COUNTA(A151:P151)=0,"",IF(OR(A151="",B151="",C151="",D151="",E151="",F151="",G151="",H151="",I151="",K151="",N151="",O151="",P151=""),"缺必填",IF(COUNTIF($A$2:$A$201,A151)&gt;1,"ID重复",IF(COUNTIF('案件'!$A$2:$A$201,B151)&lt;&gt;1,"案件ID无效",IF(LEN(E151)&lt;&gt;64,"哈希长度错误","字段齐备")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10" t="str">
        <x:f>IF(COUNTA(A152:P152)=0,"",IF(OR(A152="",B152="",C152="",D152="",E152="",F152="",G152="",H152="",I152="",K152="",N152="",O152="",P152=""),"缺必填",IF(COUNTIF($A$2:$A$201,A152)&gt;1,"ID重复",IF(COUNTIF('案件'!$A$2:$A$201,B152)&lt;&gt;1,"案件ID无效",IF(LEN(E152)&lt;&gt;64,"哈希长度错误","字段齐备")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10" t="str">
        <x:f>IF(COUNTA(A153:P153)=0,"",IF(OR(A153="",B153="",C153="",D153="",E153="",F153="",G153="",H153="",I153="",K153="",N153="",O153="",P153=""),"缺必填",IF(COUNTIF($A$2:$A$201,A153)&gt;1,"ID重复",IF(COUNTIF('案件'!$A$2:$A$201,B153)&lt;&gt;1,"案件ID无效",IF(LEN(E153)&lt;&gt;64,"哈希长度错误","字段齐备")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10" t="str">
        <x:f>IF(COUNTA(A154:P154)=0,"",IF(OR(A154="",B154="",C154="",D154="",E154="",F154="",G154="",H154="",I154="",K154="",N154="",O154="",P154=""),"缺必填",IF(COUNTIF($A$2:$A$201,A154)&gt;1,"ID重复",IF(COUNTIF('案件'!$A$2:$A$201,B154)&lt;&gt;1,"案件ID无效",IF(LEN(E154)&lt;&gt;64,"哈希长度错误","字段齐备")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10" t="str">
        <x:f>IF(COUNTA(A155:P155)=0,"",IF(OR(A155="",B155="",C155="",D155="",E155="",F155="",G155="",H155="",I155="",K155="",N155="",O155="",P155=""),"缺必填",IF(COUNTIF($A$2:$A$201,A155)&gt;1,"ID重复",IF(COUNTIF('案件'!$A$2:$A$201,B155)&lt;&gt;1,"案件ID无效",IF(LEN(E155)&lt;&gt;64,"哈希长度错误","字段齐备")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10" t="str">
        <x:f>IF(COUNTA(A156:P156)=0,"",IF(OR(A156="",B156="",C156="",D156="",E156="",F156="",G156="",H156="",I156="",K156="",N156="",O156="",P156=""),"缺必填",IF(COUNTIF($A$2:$A$201,A156)&gt;1,"ID重复",IF(COUNTIF('案件'!$A$2:$A$201,B156)&lt;&gt;1,"案件ID无效",IF(LEN(E156)&lt;&gt;64,"哈希长度错误","字段齐备")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10" t="str">
        <x:f>IF(COUNTA(A157:P157)=0,"",IF(OR(A157="",B157="",C157="",D157="",E157="",F157="",G157="",H157="",I157="",K157="",N157="",O157="",P157=""),"缺必填",IF(COUNTIF($A$2:$A$201,A157)&gt;1,"ID重复",IF(COUNTIF('案件'!$A$2:$A$201,B157)&lt;&gt;1,"案件ID无效",IF(LEN(E157)&lt;&gt;64,"哈希长度错误","字段齐备")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10" t="str">
        <x:f>IF(COUNTA(A158:P158)=0,"",IF(OR(A158="",B158="",C158="",D158="",E158="",F158="",G158="",H158="",I158="",K158="",N158="",O158="",P158=""),"缺必填",IF(COUNTIF($A$2:$A$201,A158)&gt;1,"ID重复",IF(COUNTIF('案件'!$A$2:$A$201,B158)&lt;&gt;1,"案件ID无效",IF(LEN(E158)&lt;&gt;64,"哈希长度错误","字段齐备")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10" t="str">
        <x:f>IF(COUNTA(A159:P159)=0,"",IF(OR(A159="",B159="",C159="",D159="",E159="",F159="",G159="",H159="",I159="",K159="",N159="",O159="",P159=""),"缺必填",IF(COUNTIF($A$2:$A$201,A159)&gt;1,"ID重复",IF(COUNTIF('案件'!$A$2:$A$201,B159)&lt;&gt;1,"案件ID无效",IF(LEN(E159)&lt;&gt;64,"哈希长度错误","字段齐备")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10" t="str">
        <x:f>IF(COUNTA(A160:P160)=0,"",IF(OR(A160="",B160="",C160="",D160="",E160="",F160="",G160="",H160="",I160="",K160="",N160="",O160="",P160=""),"缺必填",IF(COUNTIF($A$2:$A$201,A160)&gt;1,"ID重复",IF(COUNTIF('案件'!$A$2:$A$201,B160)&lt;&gt;1,"案件ID无效",IF(LEN(E160)&lt;&gt;64,"哈希长度错误","字段齐备")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10" t="str">
        <x:f>IF(COUNTA(A161:P161)=0,"",IF(OR(A161="",B161="",C161="",D161="",E161="",F161="",G161="",H161="",I161="",K161="",N161="",O161="",P161=""),"缺必填",IF(COUNTIF($A$2:$A$201,A161)&gt;1,"ID重复",IF(COUNTIF('案件'!$A$2:$A$201,B161)&lt;&gt;1,"案件ID无效",IF(LEN(E161)&lt;&gt;64,"哈希长度错误","字段齐备")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10" t="str">
        <x:f>IF(COUNTA(A162:P162)=0,"",IF(OR(A162="",B162="",C162="",D162="",E162="",F162="",G162="",H162="",I162="",K162="",N162="",O162="",P162=""),"缺必填",IF(COUNTIF($A$2:$A$201,A162)&gt;1,"ID重复",IF(COUNTIF('案件'!$A$2:$A$201,B162)&lt;&gt;1,"案件ID无效",IF(LEN(E162)&lt;&gt;64,"哈希长度错误","字段齐备")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10" t="str">
        <x:f>IF(COUNTA(A163:P163)=0,"",IF(OR(A163="",B163="",C163="",D163="",E163="",F163="",G163="",H163="",I163="",K163="",N163="",O163="",P163=""),"缺必填",IF(COUNTIF($A$2:$A$201,A163)&gt;1,"ID重复",IF(COUNTIF('案件'!$A$2:$A$201,B163)&lt;&gt;1,"案件ID无效",IF(LEN(E163)&lt;&gt;64,"哈希长度错误","字段齐备")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10" t="str">
        <x:f>IF(COUNTA(A164:P164)=0,"",IF(OR(A164="",B164="",C164="",D164="",E164="",F164="",G164="",H164="",I164="",K164="",N164="",O164="",P164=""),"缺必填",IF(COUNTIF($A$2:$A$201,A164)&gt;1,"ID重复",IF(COUNTIF('案件'!$A$2:$A$201,B164)&lt;&gt;1,"案件ID无效",IF(LEN(E164)&lt;&gt;64,"哈希长度错误","字段齐备")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10" t="str">
        <x:f>IF(COUNTA(A165:P165)=0,"",IF(OR(A165="",B165="",C165="",D165="",E165="",F165="",G165="",H165="",I165="",K165="",N165="",O165="",P165=""),"缺必填",IF(COUNTIF($A$2:$A$201,A165)&gt;1,"ID重复",IF(COUNTIF('案件'!$A$2:$A$201,B165)&lt;&gt;1,"案件ID无效",IF(LEN(E165)&lt;&gt;64,"哈希长度错误","字段齐备")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10" t="str">
        <x:f>IF(COUNTA(A166:P166)=0,"",IF(OR(A166="",B166="",C166="",D166="",E166="",F166="",G166="",H166="",I166="",K166="",N166="",O166="",P166=""),"缺必填",IF(COUNTIF($A$2:$A$201,A166)&gt;1,"ID重复",IF(COUNTIF('案件'!$A$2:$A$201,B166)&lt;&gt;1,"案件ID无效",IF(LEN(E166)&lt;&gt;64,"哈希长度错误","字段齐备")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10" t="str">
        <x:f>IF(COUNTA(A167:P167)=0,"",IF(OR(A167="",B167="",C167="",D167="",E167="",F167="",G167="",H167="",I167="",K167="",N167="",O167="",P167=""),"缺必填",IF(COUNTIF($A$2:$A$201,A167)&gt;1,"ID重复",IF(COUNTIF('案件'!$A$2:$A$201,B167)&lt;&gt;1,"案件ID无效",IF(LEN(E167)&lt;&gt;64,"哈希长度错误","字段齐备")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10" t="str">
        <x:f>IF(COUNTA(A168:P168)=0,"",IF(OR(A168="",B168="",C168="",D168="",E168="",F168="",G168="",H168="",I168="",K168="",N168="",O168="",P168=""),"缺必填",IF(COUNTIF($A$2:$A$201,A168)&gt;1,"ID重复",IF(COUNTIF('案件'!$A$2:$A$201,B168)&lt;&gt;1,"案件ID无效",IF(LEN(E168)&lt;&gt;64,"哈希长度错误","字段齐备")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10" t="str">
        <x:f>IF(COUNTA(A169:P169)=0,"",IF(OR(A169="",B169="",C169="",D169="",E169="",F169="",G169="",H169="",I169="",K169="",N169="",O169="",P169=""),"缺必填",IF(COUNTIF($A$2:$A$201,A169)&gt;1,"ID重复",IF(COUNTIF('案件'!$A$2:$A$201,B169)&lt;&gt;1,"案件ID无效",IF(LEN(E169)&lt;&gt;64,"哈希长度错误","字段齐备")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10" t="str">
        <x:f>IF(COUNTA(A170:P170)=0,"",IF(OR(A170="",B170="",C170="",D170="",E170="",F170="",G170="",H170="",I170="",K170="",N170="",O170="",P170=""),"缺必填",IF(COUNTIF($A$2:$A$201,A170)&gt;1,"ID重复",IF(COUNTIF('案件'!$A$2:$A$201,B170)&lt;&gt;1,"案件ID无效",IF(LEN(E170)&lt;&gt;64,"哈希长度错误","字段齐备")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10" t="str">
        <x:f>IF(COUNTA(A171:P171)=0,"",IF(OR(A171="",B171="",C171="",D171="",E171="",F171="",G171="",H171="",I171="",K171="",N171="",O171="",P171=""),"缺必填",IF(COUNTIF($A$2:$A$201,A171)&gt;1,"ID重复",IF(COUNTIF('案件'!$A$2:$A$201,B171)&lt;&gt;1,"案件ID无效",IF(LEN(E171)&lt;&gt;64,"哈希长度错误","字段齐备")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10" t="str">
        <x:f>IF(COUNTA(A172:P172)=0,"",IF(OR(A172="",B172="",C172="",D172="",E172="",F172="",G172="",H172="",I172="",K172="",N172="",O172="",P172=""),"缺必填",IF(COUNTIF($A$2:$A$201,A172)&gt;1,"ID重复",IF(COUNTIF('案件'!$A$2:$A$201,B172)&lt;&gt;1,"案件ID无效",IF(LEN(E172)&lt;&gt;64,"哈希长度错误","字段齐备")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10" t="str">
        <x:f>IF(COUNTA(A173:P173)=0,"",IF(OR(A173="",B173="",C173="",D173="",E173="",F173="",G173="",H173="",I173="",K173="",N173="",O173="",P173=""),"缺必填",IF(COUNTIF($A$2:$A$201,A173)&gt;1,"ID重复",IF(COUNTIF('案件'!$A$2:$A$201,B173)&lt;&gt;1,"案件ID无效",IF(LEN(E173)&lt;&gt;64,"哈希长度错误","字段齐备")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10" t="str">
        <x:f>IF(COUNTA(A174:P174)=0,"",IF(OR(A174="",B174="",C174="",D174="",E174="",F174="",G174="",H174="",I174="",K174="",N174="",O174="",P174=""),"缺必填",IF(COUNTIF($A$2:$A$201,A174)&gt;1,"ID重复",IF(COUNTIF('案件'!$A$2:$A$201,B174)&lt;&gt;1,"案件ID无效",IF(LEN(E174)&lt;&gt;64,"哈希长度错误","字段齐备")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10" t="str">
        <x:f>IF(COUNTA(A175:P175)=0,"",IF(OR(A175="",B175="",C175="",D175="",E175="",F175="",G175="",H175="",I175="",K175="",N175="",O175="",P175=""),"缺必填",IF(COUNTIF($A$2:$A$201,A175)&gt;1,"ID重复",IF(COUNTIF('案件'!$A$2:$A$201,B175)&lt;&gt;1,"案件ID无效",IF(LEN(E175)&lt;&gt;64,"哈希长度错误","字段齐备")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10" t="str">
        <x:f>IF(COUNTA(A176:P176)=0,"",IF(OR(A176="",B176="",C176="",D176="",E176="",F176="",G176="",H176="",I176="",K176="",N176="",O176="",P176=""),"缺必填",IF(COUNTIF($A$2:$A$201,A176)&gt;1,"ID重复",IF(COUNTIF('案件'!$A$2:$A$201,B176)&lt;&gt;1,"案件ID无效",IF(LEN(E176)&lt;&gt;64,"哈希长度错误","字段齐备")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10" t="str">
        <x:f>IF(COUNTA(A177:P177)=0,"",IF(OR(A177="",B177="",C177="",D177="",E177="",F177="",G177="",H177="",I177="",K177="",N177="",O177="",P177=""),"缺必填",IF(COUNTIF($A$2:$A$201,A177)&gt;1,"ID重复",IF(COUNTIF('案件'!$A$2:$A$201,B177)&lt;&gt;1,"案件ID无效",IF(LEN(E177)&lt;&gt;64,"哈希长度错误","字段齐备")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10" t="str">
        <x:f>IF(COUNTA(A178:P178)=0,"",IF(OR(A178="",B178="",C178="",D178="",E178="",F178="",G178="",H178="",I178="",K178="",N178="",O178="",P178=""),"缺必填",IF(COUNTIF($A$2:$A$201,A178)&gt;1,"ID重复",IF(COUNTIF('案件'!$A$2:$A$201,B178)&lt;&gt;1,"案件ID无效",IF(LEN(E178)&lt;&gt;64,"哈希长度错误","字段齐备")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10" t="str">
        <x:f>IF(COUNTA(A179:P179)=0,"",IF(OR(A179="",B179="",C179="",D179="",E179="",F179="",G179="",H179="",I179="",K179="",N179="",O179="",P179=""),"缺必填",IF(COUNTIF($A$2:$A$201,A179)&gt;1,"ID重复",IF(COUNTIF('案件'!$A$2:$A$201,B179)&lt;&gt;1,"案件ID无效",IF(LEN(E179)&lt;&gt;64,"哈希长度错误","字段齐备")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10" t="str">
        <x:f>IF(COUNTA(A180:P180)=0,"",IF(OR(A180="",B180="",C180="",D180="",E180="",F180="",G180="",H180="",I180="",K180="",N180="",O180="",P180=""),"缺必填",IF(COUNTIF($A$2:$A$201,A180)&gt;1,"ID重复",IF(COUNTIF('案件'!$A$2:$A$201,B180)&lt;&gt;1,"案件ID无效",IF(LEN(E180)&lt;&gt;64,"哈希长度错误","字段齐备")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10" t="str">
        <x:f>IF(COUNTA(A181:P181)=0,"",IF(OR(A181="",B181="",C181="",D181="",E181="",F181="",G181="",H181="",I181="",K181="",N181="",O181="",P181=""),"缺必填",IF(COUNTIF($A$2:$A$201,A181)&gt;1,"ID重复",IF(COUNTIF('案件'!$A$2:$A$201,B181)&lt;&gt;1,"案件ID无效",IF(LEN(E181)&lt;&gt;64,"哈希长度错误","字段齐备")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10" t="str">
        <x:f>IF(COUNTA(A182:P182)=0,"",IF(OR(A182="",B182="",C182="",D182="",E182="",F182="",G182="",H182="",I182="",K182="",N182="",O182="",P182=""),"缺必填",IF(COUNTIF($A$2:$A$201,A182)&gt;1,"ID重复",IF(COUNTIF('案件'!$A$2:$A$201,B182)&lt;&gt;1,"案件ID无效",IF(LEN(E182)&lt;&gt;64,"哈希长度错误","字段齐备")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10" t="str">
        <x:f>IF(COUNTA(A183:P183)=0,"",IF(OR(A183="",B183="",C183="",D183="",E183="",F183="",G183="",H183="",I183="",K183="",N183="",O183="",P183=""),"缺必填",IF(COUNTIF($A$2:$A$201,A183)&gt;1,"ID重复",IF(COUNTIF('案件'!$A$2:$A$201,B183)&lt;&gt;1,"案件ID无效",IF(LEN(E183)&lt;&gt;64,"哈希长度错误","字段齐备")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10" t="str">
        <x:f>IF(COUNTA(A184:P184)=0,"",IF(OR(A184="",B184="",C184="",D184="",E184="",F184="",G184="",H184="",I184="",K184="",N184="",O184="",P184=""),"缺必填",IF(COUNTIF($A$2:$A$201,A184)&gt;1,"ID重复",IF(COUNTIF('案件'!$A$2:$A$201,B184)&lt;&gt;1,"案件ID无效",IF(LEN(E184)&lt;&gt;64,"哈希长度错误","字段齐备")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10" t="str">
        <x:f>IF(COUNTA(A185:P185)=0,"",IF(OR(A185="",B185="",C185="",D185="",E185="",F185="",G185="",H185="",I185="",K185="",N185="",O185="",P185=""),"缺必填",IF(COUNTIF($A$2:$A$201,A185)&gt;1,"ID重复",IF(COUNTIF('案件'!$A$2:$A$201,B185)&lt;&gt;1,"案件ID无效",IF(LEN(E185)&lt;&gt;64,"哈希长度错误","字段齐备")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10" t="str">
        <x:f>IF(COUNTA(A186:P186)=0,"",IF(OR(A186="",B186="",C186="",D186="",E186="",F186="",G186="",H186="",I186="",K186="",N186="",O186="",P186=""),"缺必填",IF(COUNTIF($A$2:$A$201,A186)&gt;1,"ID重复",IF(COUNTIF('案件'!$A$2:$A$201,B186)&lt;&gt;1,"案件ID无效",IF(LEN(E186)&lt;&gt;64,"哈希长度错误","字段齐备")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10" t="str">
        <x:f>IF(COUNTA(A187:P187)=0,"",IF(OR(A187="",B187="",C187="",D187="",E187="",F187="",G187="",H187="",I187="",K187="",N187="",O187="",P187=""),"缺必填",IF(COUNTIF($A$2:$A$201,A187)&gt;1,"ID重复",IF(COUNTIF('案件'!$A$2:$A$201,B187)&lt;&gt;1,"案件ID无效",IF(LEN(E187)&lt;&gt;64,"哈希长度错误","字段齐备")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10" t="str">
        <x:f>IF(COUNTA(A188:P188)=0,"",IF(OR(A188="",B188="",C188="",D188="",E188="",F188="",G188="",H188="",I188="",K188="",N188="",O188="",P188=""),"缺必填",IF(COUNTIF($A$2:$A$201,A188)&gt;1,"ID重复",IF(COUNTIF('案件'!$A$2:$A$201,B188)&lt;&gt;1,"案件ID无效",IF(LEN(E188)&lt;&gt;64,"哈希长度错误","字段齐备")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10" t="str">
        <x:f>IF(COUNTA(A189:P189)=0,"",IF(OR(A189="",B189="",C189="",D189="",E189="",F189="",G189="",H189="",I189="",K189="",N189="",O189="",P189=""),"缺必填",IF(COUNTIF($A$2:$A$201,A189)&gt;1,"ID重复",IF(COUNTIF('案件'!$A$2:$A$201,B189)&lt;&gt;1,"案件ID无效",IF(LEN(E189)&lt;&gt;64,"哈希长度错误","字段齐备")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10" t="str">
        <x:f>IF(COUNTA(A190:P190)=0,"",IF(OR(A190="",B190="",C190="",D190="",E190="",F190="",G190="",H190="",I190="",K190="",N190="",O190="",P190=""),"缺必填",IF(COUNTIF($A$2:$A$201,A190)&gt;1,"ID重复",IF(COUNTIF('案件'!$A$2:$A$201,B190)&lt;&gt;1,"案件ID无效",IF(LEN(E190)&lt;&gt;64,"哈希长度错误","字段齐备")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10" t="str">
        <x:f>IF(COUNTA(A191:P191)=0,"",IF(OR(A191="",B191="",C191="",D191="",E191="",F191="",G191="",H191="",I191="",K191="",N191="",O191="",P191=""),"缺必填",IF(COUNTIF($A$2:$A$201,A191)&gt;1,"ID重复",IF(COUNTIF('案件'!$A$2:$A$201,B191)&lt;&gt;1,"案件ID无效",IF(LEN(E191)&lt;&gt;64,"哈希长度错误","字段齐备")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10" t="str">
        <x:f>IF(COUNTA(A192:P192)=0,"",IF(OR(A192="",B192="",C192="",D192="",E192="",F192="",G192="",H192="",I192="",K192="",N192="",O192="",P192=""),"缺必填",IF(COUNTIF($A$2:$A$201,A192)&gt;1,"ID重复",IF(COUNTIF('案件'!$A$2:$A$201,B192)&lt;&gt;1,"案件ID无效",IF(LEN(E192)&lt;&gt;64,"哈希长度错误","字段齐备")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10" t="str">
        <x:f>IF(COUNTA(A193:P193)=0,"",IF(OR(A193="",B193="",C193="",D193="",E193="",F193="",G193="",H193="",I193="",K193="",N193="",O193="",P193=""),"缺必填",IF(COUNTIF($A$2:$A$201,A193)&gt;1,"ID重复",IF(COUNTIF('案件'!$A$2:$A$201,B193)&lt;&gt;1,"案件ID无效",IF(LEN(E193)&lt;&gt;64,"哈希长度错误","字段齐备")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10" t="str">
        <x:f>IF(COUNTA(A194:P194)=0,"",IF(OR(A194="",B194="",C194="",D194="",E194="",F194="",G194="",H194="",I194="",K194="",N194="",O194="",P194=""),"缺必填",IF(COUNTIF($A$2:$A$201,A194)&gt;1,"ID重复",IF(COUNTIF('案件'!$A$2:$A$201,B194)&lt;&gt;1,"案件ID无效",IF(LEN(E194)&lt;&gt;64,"哈希长度错误","字段齐备")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10" t="str">
        <x:f>IF(COUNTA(A195:P195)=0,"",IF(OR(A195="",B195="",C195="",D195="",E195="",F195="",G195="",H195="",I195="",K195="",N195="",O195="",P195=""),"缺必填",IF(COUNTIF($A$2:$A$201,A195)&gt;1,"ID重复",IF(COUNTIF('案件'!$A$2:$A$201,B195)&lt;&gt;1,"案件ID无效",IF(LEN(E195)&lt;&gt;64,"哈希长度错误","字段齐备")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10" t="str">
        <x:f>IF(COUNTA(A196:P196)=0,"",IF(OR(A196="",B196="",C196="",D196="",E196="",F196="",G196="",H196="",I196="",K196="",N196="",O196="",P196=""),"缺必填",IF(COUNTIF($A$2:$A$201,A196)&gt;1,"ID重复",IF(COUNTIF('案件'!$A$2:$A$201,B196)&lt;&gt;1,"案件ID无效",IF(LEN(E196)&lt;&gt;64,"哈希长度错误","字段齐备")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10" t="str">
        <x:f>IF(COUNTA(A197:P197)=0,"",IF(OR(A197="",B197="",C197="",D197="",E197="",F197="",G197="",H197="",I197="",K197="",N197="",O197="",P197=""),"缺必填",IF(COUNTIF($A$2:$A$201,A197)&gt;1,"ID重复",IF(COUNTIF('案件'!$A$2:$A$201,B197)&lt;&gt;1,"案件ID无效",IF(LEN(E197)&lt;&gt;64,"哈希长度错误","字段齐备")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10" t="str">
        <x:f>IF(COUNTA(A198:P198)=0,"",IF(OR(A198="",B198="",C198="",D198="",E198="",F198="",G198="",H198="",I198="",K198="",N198="",O198="",P198=""),"缺必填",IF(COUNTIF($A$2:$A$201,A198)&gt;1,"ID重复",IF(COUNTIF('案件'!$A$2:$A$201,B198)&lt;&gt;1,"案件ID无效",IF(LEN(E198)&lt;&gt;64,"哈希长度错误","字段齐备")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10" t="str">
        <x:f>IF(COUNTA(A199:P199)=0,"",IF(OR(A199="",B199="",C199="",D199="",E199="",F199="",G199="",H199="",I199="",K199="",N199="",O199="",P199=""),"缺必填",IF(COUNTIF($A$2:$A$201,A199)&gt;1,"ID重复",IF(COUNTIF('案件'!$A$2:$A$201,B199)&lt;&gt;1,"案件ID无效",IF(LEN(E199)&lt;&gt;64,"哈希长度错误","字段齐备")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10" t="str">
        <x:f>IF(COUNTA(A200:P200)=0,"",IF(OR(A200="",B200="",C200="",D200="",E200="",F200="",G200="",H200="",I200="",K200="",N200="",O200="",P200=""),"缺必填",IF(COUNTIF($A$2:$A$201,A200)&gt;1,"ID重复",IF(COUNTIF('案件'!$A$2:$A$201,B200)&lt;&gt;1,"案件ID无效",IF(LEN(E200)&lt;&gt;64,"哈希长度错误","字段齐备")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10" t="str">
        <x:f>IF(COUNTA(A201:P201)=0,"",IF(OR(A201="",B201="",C201="",D201="",E201="",F201="",G201="",H201="",I201="",K201="",N201="",O201="",P201=""),"缺必填",IF(COUNTIF($A$2:$A$201,A201)&gt;1,"ID重复",IF(COUNTIF('案件'!$A$2:$A$201,B201)&lt;&gt;1,"案件ID无效",IF(LEN(E201)&lt;&gt;64,"哈希长度错误","字段齐备")))))</x:f>
      </x:c>
    </x:row>
  </x:sheetData>
  <x:conditionalFormatting sqref="A2:Q201">
    <x:cfRule type="expression" dxfId="2" priority="1">
      <x:formula>AND($Q2&lt;&gt;"",$Q2&lt;&gt;"字段齐备")</x:formula>
    </x:cfRule>
  </x:conditionalFormatting>
  <x:dataValidations count="2">
    <x:dataValidation type="list" sqref="H2:H201">
      <x:formula1>"E0,U1,U2,U3,U4,U5,FINAL"</x:formula1>
    </x:dataValidation>
    <x:dataValidation type="list" sqref="O2:O201">
      <x:formula1>"未核验,已对照原文,存在争议,无法核验"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c3888eb5824c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  <x:col min="6" max="6" width="22" hidden="0" customWidth="1"/>
    <x:col min="7" max="7" width="22" hidden="0" customWidth="1"/>
    <x:col min="8" max="8" width="44" hidden="0" customWidth="1"/>
    <x:col min="9" max="9" width="44" hidden="0" customWidth="1"/>
    <x:col min="10" max="10" width="22" hidden="0" customWidth="1"/>
    <x:col min="11" max="11" width="44" hidden="0" customWidth="1"/>
    <x:col min="12" max="12" width="44" hidden="0" customWidth="1"/>
    <x:col min="13" max="13" width="20" hidden="0" customWidth="1"/>
  </x:cols>
  <x:sheetData>
    <x:row r="1" ht="52" customHeight="1">
      <x:c r="A1" s="6" t="str">
        <x:v>片段ID</x:v>
      </x:c>
      <x:c r="B1" s="6" t="str">
        <x:v>任务ID</x:v>
      </x:c>
      <x:c r="C1" s="6" t="str">
        <x:v>材料ID</x:v>
      </x:c>
      <x:c r="D1" s="6" t="str">
        <x:v>定位</x:v>
      </x:c>
      <x:c r="E1" s="6" t="str">
        <x:v>脱敏原文</x:v>
      </x:c>
      <x:c r="F1" s="6" t="str">
        <x:v>陈述人ID</x:v>
      </x:c>
      <x:c r="G1" s="6" t="str">
        <x:v>陈述时间原文</x:v>
      </x:c>
      <x:c r="H1" s="6" t="str">
        <x:v>记载层次</x:v>
      </x:c>
      <x:c r="I1" s="6" t="str">
        <x:v>事实概括</x:v>
      </x:c>
      <x:c r="J1" s="6" t="str">
        <x:v>转录核验</x:v>
      </x:c>
      <x:c r="K1" s="6" t="str">
        <x:v>真实性争点</x:v>
      </x:c>
      <x:c r="L1" s="6" t="str">
        <x:v>缺失上下文</x:v>
      </x:c>
      <x:c r="M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10" t="str">
        <x:f>IF(COUNTA(A2:L2)=0,"",IF(OR(A2="",B2="",C2="",D2="",E2="",F2="",G2="",H2="",I2="",J2=""),"缺必填",IF(COUNTIF($A$2:$A$201,A2)&gt;1,"ID重复",IF(COUNTIF('任务登记'!$A$2:$A$201,B2)&lt;&gt;1,"任务ID无效",IF(COUNTIF('材料'!$A$2:$A$201,C2)&lt;&gt;1,"材料ID无效",IF(INDEX('材料'!$B$2:$B$201,MATCH(C2,'材料'!$A$2:$A$201,0))&lt;&gt;INDEX('任务登记'!$B$2:$B$201,MATCH(B2,'任务登记'!$A$2:$A$201,0)),"材料与任务跨案",IF(ISERROR(SEARCH(";"&amp;C2&amp;";",";"&amp;INDEX('任务登记'!$H$2:$H$201,MATCH(B2,'任务登记'!$A$2:$A$201,0))&amp;";")),"材料不在可见清单",IF(COUNTIF('要件与标签'!$D$23:$D$29,INDEX('材料'!$H$2:$H$201,MATCH(C2,'材料'!$A$2:$A$201,0)))&lt;&gt;1,"材料阶段无效",IF(COUNTIF('要件与标签'!$D$23:$D$29,INDEX('任务登记'!$G$2:$G$201,MATCH(B2,'任务登记'!$A$2:$A$201,0)))&lt;&gt;1,"任务阶段无效",IF(MATCH(INDEX('材料'!$H$2:$H$201,MATCH(C2,'材料'!$A$2:$A$201,0)),'要件与标签'!$D$23:$D$29,0)&gt;MATCH(INDEX('任务登记'!$G$2:$G$201,MATCH(B2,'任务登记'!$A$2:$A$201,0)),'要件与标签'!$D$23:$D$29,0),"引用未来材料","字段齐备"))))))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10" t="str">
        <x:f>IF(COUNTA(A3:L3)=0,"",IF(OR(A3="",B3="",C3="",D3="",E3="",F3="",G3="",H3="",I3="",J3=""),"缺必填",IF(COUNTIF($A$2:$A$201,A3)&gt;1,"ID重复",IF(COUNTIF('任务登记'!$A$2:$A$201,B3)&lt;&gt;1,"任务ID无效",IF(COUNTIF('材料'!$A$2:$A$201,C3)&lt;&gt;1,"材料ID无效",IF(INDEX('材料'!$B$2:$B$201,MATCH(C3,'材料'!$A$2:$A$201,0))&lt;&gt;INDEX('任务登记'!$B$2:$B$201,MATCH(B3,'任务登记'!$A$2:$A$201,0)),"材料与任务跨案",IF(ISERROR(SEARCH(";"&amp;C3&amp;";",";"&amp;INDEX('任务登记'!$H$2:$H$201,MATCH(B3,'任务登记'!$A$2:$A$201,0))&amp;";")),"材料不在可见清单",IF(COUNTIF('要件与标签'!$D$23:$D$29,INDEX('材料'!$H$2:$H$201,MATCH(C3,'材料'!$A$2:$A$201,0)))&lt;&gt;1,"材料阶段无效",IF(COUNTIF('要件与标签'!$D$23:$D$29,INDEX('任务登记'!$G$2:$G$201,MATCH(B3,'任务登记'!$A$2:$A$201,0)))&lt;&gt;1,"任务阶段无效",IF(MATCH(INDEX('材料'!$H$2:$H$201,MATCH(C3,'材料'!$A$2:$A$201,0)),'要件与标签'!$D$23:$D$29,0)&gt;MATCH(INDEX('任务登记'!$G$2:$G$201,MATCH(B3,'任务登记'!$A$2:$A$201,0)),'要件与标签'!$D$23:$D$29,0),"引用未来材料","字段齐备"))))))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10" t="str">
        <x:f>IF(COUNTA(A4:L4)=0,"",IF(OR(A4="",B4="",C4="",D4="",E4="",F4="",G4="",H4="",I4="",J4=""),"缺必填",IF(COUNTIF($A$2:$A$201,A4)&gt;1,"ID重复",IF(COUNTIF('任务登记'!$A$2:$A$201,B4)&lt;&gt;1,"任务ID无效",IF(COUNTIF('材料'!$A$2:$A$201,C4)&lt;&gt;1,"材料ID无效",IF(INDEX('材料'!$B$2:$B$201,MATCH(C4,'材料'!$A$2:$A$201,0))&lt;&gt;INDEX('任务登记'!$B$2:$B$201,MATCH(B4,'任务登记'!$A$2:$A$201,0)),"材料与任务跨案",IF(ISERROR(SEARCH(";"&amp;C4&amp;";",";"&amp;INDEX('任务登记'!$H$2:$H$201,MATCH(B4,'任务登记'!$A$2:$A$201,0))&amp;";")),"材料不在可见清单",IF(COUNTIF('要件与标签'!$D$23:$D$29,INDEX('材料'!$H$2:$H$201,MATCH(C4,'材料'!$A$2:$A$201,0)))&lt;&gt;1,"材料阶段无效",IF(COUNTIF('要件与标签'!$D$23:$D$29,INDEX('任务登记'!$G$2:$G$201,MATCH(B4,'任务登记'!$A$2:$A$201,0)))&lt;&gt;1,"任务阶段无效",IF(MATCH(INDEX('材料'!$H$2:$H$201,MATCH(C4,'材料'!$A$2:$A$201,0)),'要件与标签'!$D$23:$D$29,0)&gt;MATCH(INDEX('任务登记'!$G$2:$G$201,MATCH(B4,'任务登记'!$A$2:$A$201,0)),'要件与标签'!$D$23:$D$29,0),"引用未来材料","字段齐备"))))))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10" t="str">
        <x:f>IF(COUNTA(A5:L5)=0,"",IF(OR(A5="",B5="",C5="",D5="",E5="",F5="",G5="",H5="",I5="",J5=""),"缺必填",IF(COUNTIF($A$2:$A$201,A5)&gt;1,"ID重复",IF(COUNTIF('任务登记'!$A$2:$A$201,B5)&lt;&gt;1,"任务ID无效",IF(COUNTIF('材料'!$A$2:$A$201,C5)&lt;&gt;1,"材料ID无效",IF(INDEX('材料'!$B$2:$B$201,MATCH(C5,'材料'!$A$2:$A$201,0))&lt;&gt;INDEX('任务登记'!$B$2:$B$201,MATCH(B5,'任务登记'!$A$2:$A$201,0)),"材料与任务跨案",IF(ISERROR(SEARCH(";"&amp;C5&amp;";",";"&amp;INDEX('任务登记'!$H$2:$H$201,MATCH(B5,'任务登记'!$A$2:$A$201,0))&amp;";")),"材料不在可见清单",IF(COUNTIF('要件与标签'!$D$23:$D$29,INDEX('材料'!$H$2:$H$201,MATCH(C5,'材料'!$A$2:$A$201,0)))&lt;&gt;1,"材料阶段无效",IF(COUNTIF('要件与标签'!$D$23:$D$29,INDEX('任务登记'!$G$2:$G$201,MATCH(B5,'任务登记'!$A$2:$A$201,0)))&lt;&gt;1,"任务阶段无效",IF(MATCH(INDEX('材料'!$H$2:$H$201,MATCH(C5,'材料'!$A$2:$A$201,0)),'要件与标签'!$D$23:$D$29,0)&gt;MATCH(INDEX('任务登记'!$G$2:$G$201,MATCH(B5,'任务登记'!$A$2:$A$201,0)),'要件与标签'!$D$23:$D$29,0),"引用未来材料","字段齐备"))))))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10" t="str">
        <x:f>IF(COUNTA(A6:L6)=0,"",IF(OR(A6="",B6="",C6="",D6="",E6="",F6="",G6="",H6="",I6="",J6=""),"缺必填",IF(COUNTIF($A$2:$A$201,A6)&gt;1,"ID重复",IF(COUNTIF('任务登记'!$A$2:$A$201,B6)&lt;&gt;1,"任务ID无效",IF(COUNTIF('材料'!$A$2:$A$201,C6)&lt;&gt;1,"材料ID无效",IF(INDEX('材料'!$B$2:$B$201,MATCH(C6,'材料'!$A$2:$A$201,0))&lt;&gt;INDEX('任务登记'!$B$2:$B$201,MATCH(B6,'任务登记'!$A$2:$A$201,0)),"材料与任务跨案",IF(ISERROR(SEARCH(";"&amp;C6&amp;";",";"&amp;INDEX('任务登记'!$H$2:$H$201,MATCH(B6,'任务登记'!$A$2:$A$201,0))&amp;";")),"材料不在可见清单",IF(COUNTIF('要件与标签'!$D$23:$D$29,INDEX('材料'!$H$2:$H$201,MATCH(C6,'材料'!$A$2:$A$201,0)))&lt;&gt;1,"材料阶段无效",IF(COUNTIF('要件与标签'!$D$23:$D$29,INDEX('任务登记'!$G$2:$G$201,MATCH(B6,'任务登记'!$A$2:$A$201,0)))&lt;&gt;1,"任务阶段无效",IF(MATCH(INDEX('材料'!$H$2:$H$201,MATCH(C6,'材料'!$A$2:$A$201,0)),'要件与标签'!$D$23:$D$29,0)&gt;MATCH(INDEX('任务登记'!$G$2:$G$201,MATCH(B6,'任务登记'!$A$2:$A$201,0)),'要件与标签'!$D$23:$D$29,0),"引用未来材料","字段齐备"))))))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10" t="str">
        <x:f>IF(COUNTA(A7:L7)=0,"",IF(OR(A7="",B7="",C7="",D7="",E7="",F7="",G7="",H7="",I7="",J7=""),"缺必填",IF(COUNTIF($A$2:$A$201,A7)&gt;1,"ID重复",IF(COUNTIF('任务登记'!$A$2:$A$201,B7)&lt;&gt;1,"任务ID无效",IF(COUNTIF('材料'!$A$2:$A$201,C7)&lt;&gt;1,"材料ID无效",IF(INDEX('材料'!$B$2:$B$201,MATCH(C7,'材料'!$A$2:$A$201,0))&lt;&gt;INDEX('任务登记'!$B$2:$B$201,MATCH(B7,'任务登记'!$A$2:$A$201,0)),"材料与任务跨案",IF(ISERROR(SEARCH(";"&amp;C7&amp;";",";"&amp;INDEX('任务登记'!$H$2:$H$201,MATCH(B7,'任务登记'!$A$2:$A$201,0))&amp;";")),"材料不在可见清单",IF(COUNTIF('要件与标签'!$D$23:$D$29,INDEX('材料'!$H$2:$H$201,MATCH(C7,'材料'!$A$2:$A$201,0)))&lt;&gt;1,"材料阶段无效",IF(COUNTIF('要件与标签'!$D$23:$D$29,INDEX('任务登记'!$G$2:$G$201,MATCH(B7,'任务登记'!$A$2:$A$201,0)))&lt;&gt;1,"任务阶段无效",IF(MATCH(INDEX('材料'!$H$2:$H$201,MATCH(C7,'材料'!$A$2:$A$201,0)),'要件与标签'!$D$23:$D$29,0)&gt;MATCH(INDEX('任务登记'!$G$2:$G$201,MATCH(B7,'任务登记'!$A$2:$A$201,0)),'要件与标签'!$D$23:$D$29,0),"引用未来材料","字段齐备"))))))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10" t="str">
        <x:f>IF(COUNTA(A8:L8)=0,"",IF(OR(A8="",B8="",C8="",D8="",E8="",F8="",G8="",H8="",I8="",J8=""),"缺必填",IF(COUNTIF($A$2:$A$201,A8)&gt;1,"ID重复",IF(COUNTIF('任务登记'!$A$2:$A$201,B8)&lt;&gt;1,"任务ID无效",IF(COUNTIF('材料'!$A$2:$A$201,C8)&lt;&gt;1,"材料ID无效",IF(INDEX('材料'!$B$2:$B$201,MATCH(C8,'材料'!$A$2:$A$201,0))&lt;&gt;INDEX('任务登记'!$B$2:$B$201,MATCH(B8,'任务登记'!$A$2:$A$201,0)),"材料与任务跨案",IF(ISERROR(SEARCH(";"&amp;C8&amp;";",";"&amp;INDEX('任务登记'!$H$2:$H$201,MATCH(B8,'任务登记'!$A$2:$A$201,0))&amp;";")),"材料不在可见清单",IF(COUNTIF('要件与标签'!$D$23:$D$29,INDEX('材料'!$H$2:$H$201,MATCH(C8,'材料'!$A$2:$A$201,0)))&lt;&gt;1,"材料阶段无效",IF(COUNTIF('要件与标签'!$D$23:$D$29,INDEX('任务登记'!$G$2:$G$201,MATCH(B8,'任务登记'!$A$2:$A$201,0)))&lt;&gt;1,"任务阶段无效",IF(MATCH(INDEX('材料'!$H$2:$H$201,MATCH(C8,'材料'!$A$2:$A$201,0)),'要件与标签'!$D$23:$D$29,0)&gt;MATCH(INDEX('任务登记'!$G$2:$G$201,MATCH(B8,'任务登记'!$A$2:$A$201,0)),'要件与标签'!$D$23:$D$29,0),"引用未来材料","字段齐备"))))))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10" t="str">
        <x:f>IF(COUNTA(A9:L9)=0,"",IF(OR(A9="",B9="",C9="",D9="",E9="",F9="",G9="",H9="",I9="",J9=""),"缺必填",IF(COUNTIF($A$2:$A$201,A9)&gt;1,"ID重复",IF(COUNTIF('任务登记'!$A$2:$A$201,B9)&lt;&gt;1,"任务ID无效",IF(COUNTIF('材料'!$A$2:$A$201,C9)&lt;&gt;1,"材料ID无效",IF(INDEX('材料'!$B$2:$B$201,MATCH(C9,'材料'!$A$2:$A$201,0))&lt;&gt;INDEX('任务登记'!$B$2:$B$201,MATCH(B9,'任务登记'!$A$2:$A$201,0)),"材料与任务跨案",IF(ISERROR(SEARCH(";"&amp;C9&amp;";",";"&amp;INDEX('任务登记'!$H$2:$H$201,MATCH(B9,'任务登记'!$A$2:$A$201,0))&amp;";")),"材料不在可见清单",IF(COUNTIF('要件与标签'!$D$23:$D$29,INDEX('材料'!$H$2:$H$201,MATCH(C9,'材料'!$A$2:$A$201,0)))&lt;&gt;1,"材料阶段无效",IF(COUNTIF('要件与标签'!$D$23:$D$29,INDEX('任务登记'!$G$2:$G$201,MATCH(B9,'任务登记'!$A$2:$A$201,0)))&lt;&gt;1,"任务阶段无效",IF(MATCH(INDEX('材料'!$H$2:$H$201,MATCH(C9,'材料'!$A$2:$A$201,0)),'要件与标签'!$D$23:$D$29,0)&gt;MATCH(INDEX('任务登记'!$G$2:$G$201,MATCH(B9,'任务登记'!$A$2:$A$201,0)),'要件与标签'!$D$23:$D$29,0),"引用未来材料","字段齐备"))))))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10" t="str">
        <x:f>IF(COUNTA(A10:L10)=0,"",IF(OR(A10="",B10="",C10="",D10="",E10="",F10="",G10="",H10="",I10="",J10=""),"缺必填",IF(COUNTIF($A$2:$A$201,A10)&gt;1,"ID重复",IF(COUNTIF('任务登记'!$A$2:$A$201,B10)&lt;&gt;1,"任务ID无效",IF(COUNTIF('材料'!$A$2:$A$201,C10)&lt;&gt;1,"材料ID无效",IF(INDEX('材料'!$B$2:$B$201,MATCH(C10,'材料'!$A$2:$A$201,0))&lt;&gt;INDEX('任务登记'!$B$2:$B$201,MATCH(B10,'任务登记'!$A$2:$A$201,0)),"材料与任务跨案",IF(ISERROR(SEARCH(";"&amp;C10&amp;";",";"&amp;INDEX('任务登记'!$H$2:$H$201,MATCH(B10,'任务登记'!$A$2:$A$201,0))&amp;";")),"材料不在可见清单",IF(COUNTIF('要件与标签'!$D$23:$D$29,INDEX('材料'!$H$2:$H$201,MATCH(C10,'材料'!$A$2:$A$201,0)))&lt;&gt;1,"材料阶段无效",IF(COUNTIF('要件与标签'!$D$23:$D$29,INDEX('任务登记'!$G$2:$G$201,MATCH(B10,'任务登记'!$A$2:$A$201,0)))&lt;&gt;1,"任务阶段无效",IF(MATCH(INDEX('材料'!$H$2:$H$201,MATCH(C10,'材料'!$A$2:$A$201,0)),'要件与标签'!$D$23:$D$29,0)&gt;MATCH(INDEX('任务登记'!$G$2:$G$201,MATCH(B10,'任务登记'!$A$2:$A$201,0)),'要件与标签'!$D$23:$D$29,0),"引用未来材料","字段齐备"))))))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10" t="str">
        <x:f>IF(COUNTA(A11:L11)=0,"",IF(OR(A11="",B11="",C11="",D11="",E11="",F11="",G11="",H11="",I11="",J11=""),"缺必填",IF(COUNTIF($A$2:$A$201,A11)&gt;1,"ID重复",IF(COUNTIF('任务登记'!$A$2:$A$201,B11)&lt;&gt;1,"任务ID无效",IF(COUNTIF('材料'!$A$2:$A$201,C11)&lt;&gt;1,"材料ID无效",IF(INDEX('材料'!$B$2:$B$201,MATCH(C11,'材料'!$A$2:$A$201,0))&lt;&gt;INDEX('任务登记'!$B$2:$B$201,MATCH(B11,'任务登记'!$A$2:$A$201,0)),"材料与任务跨案",IF(ISERROR(SEARCH(";"&amp;C11&amp;";",";"&amp;INDEX('任务登记'!$H$2:$H$201,MATCH(B11,'任务登记'!$A$2:$A$201,0))&amp;";")),"材料不在可见清单",IF(COUNTIF('要件与标签'!$D$23:$D$29,INDEX('材料'!$H$2:$H$201,MATCH(C11,'材料'!$A$2:$A$201,0)))&lt;&gt;1,"材料阶段无效",IF(COUNTIF('要件与标签'!$D$23:$D$29,INDEX('任务登记'!$G$2:$G$201,MATCH(B11,'任务登记'!$A$2:$A$201,0)))&lt;&gt;1,"任务阶段无效",IF(MATCH(INDEX('材料'!$H$2:$H$201,MATCH(C11,'材料'!$A$2:$A$201,0)),'要件与标签'!$D$23:$D$29,0)&gt;MATCH(INDEX('任务登记'!$G$2:$G$201,MATCH(B11,'任务登记'!$A$2:$A$201,0)),'要件与标签'!$D$23:$D$29,0),"引用未来材料","字段齐备"))))))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10" t="str">
        <x:f>IF(COUNTA(A12:L12)=0,"",IF(OR(A12="",B12="",C12="",D12="",E12="",F12="",G12="",H12="",I12="",J12=""),"缺必填",IF(COUNTIF($A$2:$A$201,A12)&gt;1,"ID重复",IF(COUNTIF('任务登记'!$A$2:$A$201,B12)&lt;&gt;1,"任务ID无效",IF(COUNTIF('材料'!$A$2:$A$201,C12)&lt;&gt;1,"材料ID无效",IF(INDEX('材料'!$B$2:$B$201,MATCH(C12,'材料'!$A$2:$A$201,0))&lt;&gt;INDEX('任务登记'!$B$2:$B$201,MATCH(B12,'任务登记'!$A$2:$A$201,0)),"材料与任务跨案",IF(ISERROR(SEARCH(";"&amp;C12&amp;";",";"&amp;INDEX('任务登记'!$H$2:$H$201,MATCH(B12,'任务登记'!$A$2:$A$201,0))&amp;";")),"材料不在可见清单",IF(COUNTIF('要件与标签'!$D$23:$D$29,INDEX('材料'!$H$2:$H$201,MATCH(C12,'材料'!$A$2:$A$201,0)))&lt;&gt;1,"材料阶段无效",IF(COUNTIF('要件与标签'!$D$23:$D$29,INDEX('任务登记'!$G$2:$G$201,MATCH(B12,'任务登记'!$A$2:$A$201,0)))&lt;&gt;1,"任务阶段无效",IF(MATCH(INDEX('材料'!$H$2:$H$201,MATCH(C12,'材料'!$A$2:$A$201,0)),'要件与标签'!$D$23:$D$29,0)&gt;MATCH(INDEX('任务登记'!$G$2:$G$201,MATCH(B12,'任务登记'!$A$2:$A$201,0)),'要件与标签'!$D$23:$D$29,0),"引用未来材料","字段齐备"))))))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10" t="str">
        <x:f>IF(COUNTA(A13:L13)=0,"",IF(OR(A13="",B13="",C13="",D13="",E13="",F13="",G13="",H13="",I13="",J13=""),"缺必填",IF(COUNTIF($A$2:$A$201,A13)&gt;1,"ID重复",IF(COUNTIF('任务登记'!$A$2:$A$201,B13)&lt;&gt;1,"任务ID无效",IF(COUNTIF('材料'!$A$2:$A$201,C13)&lt;&gt;1,"材料ID无效",IF(INDEX('材料'!$B$2:$B$201,MATCH(C13,'材料'!$A$2:$A$201,0))&lt;&gt;INDEX('任务登记'!$B$2:$B$201,MATCH(B13,'任务登记'!$A$2:$A$201,0)),"材料与任务跨案",IF(ISERROR(SEARCH(";"&amp;C13&amp;";",";"&amp;INDEX('任务登记'!$H$2:$H$201,MATCH(B13,'任务登记'!$A$2:$A$201,0))&amp;";")),"材料不在可见清单",IF(COUNTIF('要件与标签'!$D$23:$D$29,INDEX('材料'!$H$2:$H$201,MATCH(C13,'材料'!$A$2:$A$201,0)))&lt;&gt;1,"材料阶段无效",IF(COUNTIF('要件与标签'!$D$23:$D$29,INDEX('任务登记'!$G$2:$G$201,MATCH(B13,'任务登记'!$A$2:$A$201,0)))&lt;&gt;1,"任务阶段无效",IF(MATCH(INDEX('材料'!$H$2:$H$201,MATCH(C13,'材料'!$A$2:$A$201,0)),'要件与标签'!$D$23:$D$29,0)&gt;MATCH(INDEX('任务登记'!$G$2:$G$201,MATCH(B13,'任务登记'!$A$2:$A$201,0)),'要件与标签'!$D$23:$D$29,0),"引用未来材料","字段齐备"))))))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10" t="str">
        <x:f>IF(COUNTA(A14:L14)=0,"",IF(OR(A14="",B14="",C14="",D14="",E14="",F14="",G14="",H14="",I14="",J14=""),"缺必填",IF(COUNTIF($A$2:$A$201,A14)&gt;1,"ID重复",IF(COUNTIF('任务登记'!$A$2:$A$201,B14)&lt;&gt;1,"任务ID无效",IF(COUNTIF('材料'!$A$2:$A$201,C14)&lt;&gt;1,"材料ID无效",IF(INDEX('材料'!$B$2:$B$201,MATCH(C14,'材料'!$A$2:$A$201,0))&lt;&gt;INDEX('任务登记'!$B$2:$B$201,MATCH(B14,'任务登记'!$A$2:$A$201,0)),"材料与任务跨案",IF(ISERROR(SEARCH(";"&amp;C14&amp;";",";"&amp;INDEX('任务登记'!$H$2:$H$201,MATCH(B14,'任务登记'!$A$2:$A$201,0))&amp;";")),"材料不在可见清单",IF(COUNTIF('要件与标签'!$D$23:$D$29,INDEX('材料'!$H$2:$H$201,MATCH(C14,'材料'!$A$2:$A$201,0)))&lt;&gt;1,"材料阶段无效",IF(COUNTIF('要件与标签'!$D$23:$D$29,INDEX('任务登记'!$G$2:$G$201,MATCH(B14,'任务登记'!$A$2:$A$201,0)))&lt;&gt;1,"任务阶段无效",IF(MATCH(INDEX('材料'!$H$2:$H$201,MATCH(C14,'材料'!$A$2:$A$201,0)),'要件与标签'!$D$23:$D$29,0)&gt;MATCH(INDEX('任务登记'!$G$2:$G$201,MATCH(B14,'任务登记'!$A$2:$A$201,0)),'要件与标签'!$D$23:$D$29,0),"引用未来材料","字段齐备"))))))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10" t="str">
        <x:f>IF(COUNTA(A15:L15)=0,"",IF(OR(A15="",B15="",C15="",D15="",E15="",F15="",G15="",H15="",I15="",J15=""),"缺必填",IF(COUNTIF($A$2:$A$201,A15)&gt;1,"ID重复",IF(COUNTIF('任务登记'!$A$2:$A$201,B15)&lt;&gt;1,"任务ID无效",IF(COUNTIF('材料'!$A$2:$A$201,C15)&lt;&gt;1,"材料ID无效",IF(INDEX('材料'!$B$2:$B$201,MATCH(C15,'材料'!$A$2:$A$201,0))&lt;&gt;INDEX('任务登记'!$B$2:$B$201,MATCH(B15,'任务登记'!$A$2:$A$201,0)),"材料与任务跨案",IF(ISERROR(SEARCH(";"&amp;C15&amp;";",";"&amp;INDEX('任务登记'!$H$2:$H$201,MATCH(B15,'任务登记'!$A$2:$A$201,0))&amp;";")),"材料不在可见清单",IF(COUNTIF('要件与标签'!$D$23:$D$29,INDEX('材料'!$H$2:$H$201,MATCH(C15,'材料'!$A$2:$A$201,0)))&lt;&gt;1,"材料阶段无效",IF(COUNTIF('要件与标签'!$D$23:$D$29,INDEX('任务登记'!$G$2:$G$201,MATCH(B15,'任务登记'!$A$2:$A$201,0)))&lt;&gt;1,"任务阶段无效",IF(MATCH(INDEX('材料'!$H$2:$H$201,MATCH(C15,'材料'!$A$2:$A$201,0)),'要件与标签'!$D$23:$D$29,0)&gt;MATCH(INDEX('任务登记'!$G$2:$G$201,MATCH(B15,'任务登记'!$A$2:$A$201,0)),'要件与标签'!$D$23:$D$29,0),"引用未来材料","字段齐备"))))))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10" t="str">
        <x:f>IF(COUNTA(A16:L16)=0,"",IF(OR(A16="",B16="",C16="",D16="",E16="",F16="",G16="",H16="",I16="",J16=""),"缺必填",IF(COUNTIF($A$2:$A$201,A16)&gt;1,"ID重复",IF(COUNTIF('任务登记'!$A$2:$A$201,B16)&lt;&gt;1,"任务ID无效",IF(COUNTIF('材料'!$A$2:$A$201,C16)&lt;&gt;1,"材料ID无效",IF(INDEX('材料'!$B$2:$B$201,MATCH(C16,'材料'!$A$2:$A$201,0))&lt;&gt;INDEX('任务登记'!$B$2:$B$201,MATCH(B16,'任务登记'!$A$2:$A$201,0)),"材料与任务跨案",IF(ISERROR(SEARCH(";"&amp;C16&amp;";",";"&amp;INDEX('任务登记'!$H$2:$H$201,MATCH(B16,'任务登记'!$A$2:$A$201,0))&amp;";")),"材料不在可见清单",IF(COUNTIF('要件与标签'!$D$23:$D$29,INDEX('材料'!$H$2:$H$201,MATCH(C16,'材料'!$A$2:$A$201,0)))&lt;&gt;1,"材料阶段无效",IF(COUNTIF('要件与标签'!$D$23:$D$29,INDEX('任务登记'!$G$2:$G$201,MATCH(B16,'任务登记'!$A$2:$A$201,0)))&lt;&gt;1,"任务阶段无效",IF(MATCH(INDEX('材料'!$H$2:$H$201,MATCH(C16,'材料'!$A$2:$A$201,0)),'要件与标签'!$D$23:$D$29,0)&gt;MATCH(INDEX('任务登记'!$G$2:$G$201,MATCH(B16,'任务登记'!$A$2:$A$201,0)),'要件与标签'!$D$23:$D$29,0),"引用未来材料","字段齐备"))))))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10" t="str">
        <x:f>IF(COUNTA(A17:L17)=0,"",IF(OR(A17="",B17="",C17="",D17="",E17="",F17="",G17="",H17="",I17="",J17=""),"缺必填",IF(COUNTIF($A$2:$A$201,A17)&gt;1,"ID重复",IF(COUNTIF('任务登记'!$A$2:$A$201,B17)&lt;&gt;1,"任务ID无效",IF(COUNTIF('材料'!$A$2:$A$201,C17)&lt;&gt;1,"材料ID无效",IF(INDEX('材料'!$B$2:$B$201,MATCH(C17,'材料'!$A$2:$A$201,0))&lt;&gt;INDEX('任务登记'!$B$2:$B$201,MATCH(B17,'任务登记'!$A$2:$A$201,0)),"材料与任务跨案",IF(ISERROR(SEARCH(";"&amp;C17&amp;";",";"&amp;INDEX('任务登记'!$H$2:$H$201,MATCH(B17,'任务登记'!$A$2:$A$201,0))&amp;";")),"材料不在可见清单",IF(COUNTIF('要件与标签'!$D$23:$D$29,INDEX('材料'!$H$2:$H$201,MATCH(C17,'材料'!$A$2:$A$201,0)))&lt;&gt;1,"材料阶段无效",IF(COUNTIF('要件与标签'!$D$23:$D$29,INDEX('任务登记'!$G$2:$G$201,MATCH(B17,'任务登记'!$A$2:$A$201,0)))&lt;&gt;1,"任务阶段无效",IF(MATCH(INDEX('材料'!$H$2:$H$201,MATCH(C17,'材料'!$A$2:$A$201,0)),'要件与标签'!$D$23:$D$29,0)&gt;MATCH(INDEX('任务登记'!$G$2:$G$201,MATCH(B17,'任务登记'!$A$2:$A$201,0)),'要件与标签'!$D$23:$D$29,0),"引用未来材料","字段齐备"))))))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10" t="str">
        <x:f>IF(COUNTA(A18:L18)=0,"",IF(OR(A18="",B18="",C18="",D18="",E18="",F18="",G18="",H18="",I18="",J18=""),"缺必填",IF(COUNTIF($A$2:$A$201,A18)&gt;1,"ID重复",IF(COUNTIF('任务登记'!$A$2:$A$201,B18)&lt;&gt;1,"任务ID无效",IF(COUNTIF('材料'!$A$2:$A$201,C18)&lt;&gt;1,"材料ID无效",IF(INDEX('材料'!$B$2:$B$201,MATCH(C18,'材料'!$A$2:$A$201,0))&lt;&gt;INDEX('任务登记'!$B$2:$B$201,MATCH(B18,'任务登记'!$A$2:$A$201,0)),"材料与任务跨案",IF(ISERROR(SEARCH(";"&amp;C18&amp;";",";"&amp;INDEX('任务登记'!$H$2:$H$201,MATCH(B18,'任务登记'!$A$2:$A$201,0))&amp;";")),"材料不在可见清单",IF(COUNTIF('要件与标签'!$D$23:$D$29,INDEX('材料'!$H$2:$H$201,MATCH(C18,'材料'!$A$2:$A$201,0)))&lt;&gt;1,"材料阶段无效",IF(COUNTIF('要件与标签'!$D$23:$D$29,INDEX('任务登记'!$G$2:$G$201,MATCH(B18,'任务登记'!$A$2:$A$201,0)))&lt;&gt;1,"任务阶段无效",IF(MATCH(INDEX('材料'!$H$2:$H$201,MATCH(C18,'材料'!$A$2:$A$201,0)),'要件与标签'!$D$23:$D$29,0)&gt;MATCH(INDEX('任务登记'!$G$2:$G$201,MATCH(B18,'任务登记'!$A$2:$A$201,0)),'要件与标签'!$D$23:$D$29,0),"引用未来材料","字段齐备"))))))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10" t="str">
        <x:f>IF(COUNTA(A19:L19)=0,"",IF(OR(A19="",B19="",C19="",D19="",E19="",F19="",G19="",H19="",I19="",J19=""),"缺必填",IF(COUNTIF($A$2:$A$201,A19)&gt;1,"ID重复",IF(COUNTIF('任务登记'!$A$2:$A$201,B19)&lt;&gt;1,"任务ID无效",IF(COUNTIF('材料'!$A$2:$A$201,C19)&lt;&gt;1,"材料ID无效",IF(INDEX('材料'!$B$2:$B$201,MATCH(C19,'材料'!$A$2:$A$201,0))&lt;&gt;INDEX('任务登记'!$B$2:$B$201,MATCH(B19,'任务登记'!$A$2:$A$201,0)),"材料与任务跨案",IF(ISERROR(SEARCH(";"&amp;C19&amp;";",";"&amp;INDEX('任务登记'!$H$2:$H$201,MATCH(B19,'任务登记'!$A$2:$A$201,0))&amp;";")),"材料不在可见清单",IF(COUNTIF('要件与标签'!$D$23:$D$29,INDEX('材料'!$H$2:$H$201,MATCH(C19,'材料'!$A$2:$A$201,0)))&lt;&gt;1,"材料阶段无效",IF(COUNTIF('要件与标签'!$D$23:$D$29,INDEX('任务登记'!$G$2:$G$201,MATCH(B19,'任务登记'!$A$2:$A$201,0)))&lt;&gt;1,"任务阶段无效",IF(MATCH(INDEX('材料'!$H$2:$H$201,MATCH(C19,'材料'!$A$2:$A$201,0)),'要件与标签'!$D$23:$D$29,0)&gt;MATCH(INDEX('任务登记'!$G$2:$G$201,MATCH(B19,'任务登记'!$A$2:$A$201,0)),'要件与标签'!$D$23:$D$29,0),"引用未来材料","字段齐备"))))))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10" t="str">
        <x:f>IF(COUNTA(A20:L20)=0,"",IF(OR(A20="",B20="",C20="",D20="",E20="",F20="",G20="",H20="",I20="",J20=""),"缺必填",IF(COUNTIF($A$2:$A$201,A20)&gt;1,"ID重复",IF(COUNTIF('任务登记'!$A$2:$A$201,B20)&lt;&gt;1,"任务ID无效",IF(COUNTIF('材料'!$A$2:$A$201,C20)&lt;&gt;1,"材料ID无效",IF(INDEX('材料'!$B$2:$B$201,MATCH(C20,'材料'!$A$2:$A$201,0))&lt;&gt;INDEX('任务登记'!$B$2:$B$201,MATCH(B20,'任务登记'!$A$2:$A$201,0)),"材料与任务跨案",IF(ISERROR(SEARCH(";"&amp;C20&amp;";",";"&amp;INDEX('任务登记'!$H$2:$H$201,MATCH(B20,'任务登记'!$A$2:$A$201,0))&amp;";")),"材料不在可见清单",IF(COUNTIF('要件与标签'!$D$23:$D$29,INDEX('材料'!$H$2:$H$201,MATCH(C20,'材料'!$A$2:$A$201,0)))&lt;&gt;1,"材料阶段无效",IF(COUNTIF('要件与标签'!$D$23:$D$29,INDEX('任务登记'!$G$2:$G$201,MATCH(B20,'任务登记'!$A$2:$A$201,0)))&lt;&gt;1,"任务阶段无效",IF(MATCH(INDEX('材料'!$H$2:$H$201,MATCH(C20,'材料'!$A$2:$A$201,0)),'要件与标签'!$D$23:$D$29,0)&gt;MATCH(INDEX('任务登记'!$G$2:$G$201,MATCH(B20,'任务登记'!$A$2:$A$201,0)),'要件与标签'!$D$23:$D$29,0),"引用未来材料","字段齐备"))))))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10" t="str">
        <x:f>IF(COUNTA(A21:L21)=0,"",IF(OR(A21="",B21="",C21="",D21="",E21="",F21="",G21="",H21="",I21="",J21=""),"缺必填",IF(COUNTIF($A$2:$A$201,A21)&gt;1,"ID重复",IF(COUNTIF('任务登记'!$A$2:$A$201,B21)&lt;&gt;1,"任务ID无效",IF(COUNTIF('材料'!$A$2:$A$201,C21)&lt;&gt;1,"材料ID无效",IF(INDEX('材料'!$B$2:$B$201,MATCH(C21,'材料'!$A$2:$A$201,0))&lt;&gt;INDEX('任务登记'!$B$2:$B$201,MATCH(B21,'任务登记'!$A$2:$A$201,0)),"材料与任务跨案",IF(ISERROR(SEARCH(";"&amp;C21&amp;";",";"&amp;INDEX('任务登记'!$H$2:$H$201,MATCH(B21,'任务登记'!$A$2:$A$201,0))&amp;";")),"材料不在可见清单",IF(COUNTIF('要件与标签'!$D$23:$D$29,INDEX('材料'!$H$2:$H$201,MATCH(C21,'材料'!$A$2:$A$201,0)))&lt;&gt;1,"材料阶段无效",IF(COUNTIF('要件与标签'!$D$23:$D$29,INDEX('任务登记'!$G$2:$G$201,MATCH(B21,'任务登记'!$A$2:$A$201,0)))&lt;&gt;1,"任务阶段无效",IF(MATCH(INDEX('材料'!$H$2:$H$201,MATCH(C21,'材料'!$A$2:$A$201,0)),'要件与标签'!$D$23:$D$29,0)&gt;MATCH(INDEX('任务登记'!$G$2:$G$201,MATCH(B21,'任务登记'!$A$2:$A$201,0)),'要件与标签'!$D$23:$D$29,0),"引用未来材料","字段齐备"))))))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10" t="str">
        <x:f>IF(COUNTA(A22:L22)=0,"",IF(OR(A22="",B22="",C22="",D22="",E22="",F22="",G22="",H22="",I22="",J22=""),"缺必填",IF(COUNTIF($A$2:$A$201,A22)&gt;1,"ID重复",IF(COUNTIF('任务登记'!$A$2:$A$201,B22)&lt;&gt;1,"任务ID无效",IF(COUNTIF('材料'!$A$2:$A$201,C22)&lt;&gt;1,"材料ID无效",IF(INDEX('材料'!$B$2:$B$201,MATCH(C22,'材料'!$A$2:$A$201,0))&lt;&gt;INDEX('任务登记'!$B$2:$B$201,MATCH(B22,'任务登记'!$A$2:$A$201,0)),"材料与任务跨案",IF(ISERROR(SEARCH(";"&amp;C22&amp;";",";"&amp;INDEX('任务登记'!$H$2:$H$201,MATCH(B22,'任务登记'!$A$2:$A$201,0))&amp;";")),"材料不在可见清单",IF(COUNTIF('要件与标签'!$D$23:$D$29,INDEX('材料'!$H$2:$H$201,MATCH(C22,'材料'!$A$2:$A$201,0)))&lt;&gt;1,"材料阶段无效",IF(COUNTIF('要件与标签'!$D$23:$D$29,INDEX('任务登记'!$G$2:$G$201,MATCH(B22,'任务登记'!$A$2:$A$201,0)))&lt;&gt;1,"任务阶段无效",IF(MATCH(INDEX('材料'!$H$2:$H$201,MATCH(C22,'材料'!$A$2:$A$201,0)),'要件与标签'!$D$23:$D$29,0)&gt;MATCH(INDEX('任务登记'!$G$2:$G$201,MATCH(B22,'任务登记'!$A$2:$A$201,0)),'要件与标签'!$D$23:$D$29,0),"引用未来材料","字段齐备"))))))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10" t="str">
        <x:f>IF(COUNTA(A23:L23)=0,"",IF(OR(A23="",B23="",C23="",D23="",E23="",F23="",G23="",H23="",I23="",J23=""),"缺必填",IF(COUNTIF($A$2:$A$201,A23)&gt;1,"ID重复",IF(COUNTIF('任务登记'!$A$2:$A$201,B23)&lt;&gt;1,"任务ID无效",IF(COUNTIF('材料'!$A$2:$A$201,C23)&lt;&gt;1,"材料ID无效",IF(INDEX('材料'!$B$2:$B$201,MATCH(C23,'材料'!$A$2:$A$201,0))&lt;&gt;INDEX('任务登记'!$B$2:$B$201,MATCH(B23,'任务登记'!$A$2:$A$201,0)),"材料与任务跨案",IF(ISERROR(SEARCH(";"&amp;C23&amp;";",";"&amp;INDEX('任务登记'!$H$2:$H$201,MATCH(B23,'任务登记'!$A$2:$A$201,0))&amp;";")),"材料不在可见清单",IF(COUNTIF('要件与标签'!$D$23:$D$29,INDEX('材料'!$H$2:$H$201,MATCH(C23,'材料'!$A$2:$A$201,0)))&lt;&gt;1,"材料阶段无效",IF(COUNTIF('要件与标签'!$D$23:$D$29,INDEX('任务登记'!$G$2:$G$201,MATCH(B23,'任务登记'!$A$2:$A$201,0)))&lt;&gt;1,"任务阶段无效",IF(MATCH(INDEX('材料'!$H$2:$H$201,MATCH(C23,'材料'!$A$2:$A$201,0)),'要件与标签'!$D$23:$D$29,0)&gt;MATCH(INDEX('任务登记'!$G$2:$G$201,MATCH(B23,'任务登记'!$A$2:$A$201,0)),'要件与标签'!$D$23:$D$29,0),"引用未来材料","字段齐备"))))))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10" t="str">
        <x:f>IF(COUNTA(A24:L24)=0,"",IF(OR(A24="",B24="",C24="",D24="",E24="",F24="",G24="",H24="",I24="",J24=""),"缺必填",IF(COUNTIF($A$2:$A$201,A24)&gt;1,"ID重复",IF(COUNTIF('任务登记'!$A$2:$A$201,B24)&lt;&gt;1,"任务ID无效",IF(COUNTIF('材料'!$A$2:$A$201,C24)&lt;&gt;1,"材料ID无效",IF(INDEX('材料'!$B$2:$B$201,MATCH(C24,'材料'!$A$2:$A$201,0))&lt;&gt;INDEX('任务登记'!$B$2:$B$201,MATCH(B24,'任务登记'!$A$2:$A$201,0)),"材料与任务跨案",IF(ISERROR(SEARCH(";"&amp;C24&amp;";",";"&amp;INDEX('任务登记'!$H$2:$H$201,MATCH(B24,'任务登记'!$A$2:$A$201,0))&amp;";")),"材料不在可见清单",IF(COUNTIF('要件与标签'!$D$23:$D$29,INDEX('材料'!$H$2:$H$201,MATCH(C24,'材料'!$A$2:$A$201,0)))&lt;&gt;1,"材料阶段无效",IF(COUNTIF('要件与标签'!$D$23:$D$29,INDEX('任务登记'!$G$2:$G$201,MATCH(B24,'任务登记'!$A$2:$A$201,0)))&lt;&gt;1,"任务阶段无效",IF(MATCH(INDEX('材料'!$H$2:$H$201,MATCH(C24,'材料'!$A$2:$A$201,0)),'要件与标签'!$D$23:$D$29,0)&gt;MATCH(INDEX('任务登记'!$G$2:$G$201,MATCH(B24,'任务登记'!$A$2:$A$201,0)),'要件与标签'!$D$23:$D$29,0),"引用未来材料","字段齐备"))))))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10" t="str">
        <x:f>IF(COUNTA(A25:L25)=0,"",IF(OR(A25="",B25="",C25="",D25="",E25="",F25="",G25="",H25="",I25="",J25=""),"缺必填",IF(COUNTIF($A$2:$A$201,A25)&gt;1,"ID重复",IF(COUNTIF('任务登记'!$A$2:$A$201,B25)&lt;&gt;1,"任务ID无效",IF(COUNTIF('材料'!$A$2:$A$201,C25)&lt;&gt;1,"材料ID无效",IF(INDEX('材料'!$B$2:$B$201,MATCH(C25,'材料'!$A$2:$A$201,0))&lt;&gt;INDEX('任务登记'!$B$2:$B$201,MATCH(B25,'任务登记'!$A$2:$A$201,0)),"材料与任务跨案",IF(ISERROR(SEARCH(";"&amp;C25&amp;";",";"&amp;INDEX('任务登记'!$H$2:$H$201,MATCH(B25,'任务登记'!$A$2:$A$201,0))&amp;";")),"材料不在可见清单",IF(COUNTIF('要件与标签'!$D$23:$D$29,INDEX('材料'!$H$2:$H$201,MATCH(C25,'材料'!$A$2:$A$201,0)))&lt;&gt;1,"材料阶段无效",IF(COUNTIF('要件与标签'!$D$23:$D$29,INDEX('任务登记'!$G$2:$G$201,MATCH(B25,'任务登记'!$A$2:$A$201,0)))&lt;&gt;1,"任务阶段无效",IF(MATCH(INDEX('材料'!$H$2:$H$201,MATCH(C25,'材料'!$A$2:$A$201,0)),'要件与标签'!$D$23:$D$29,0)&gt;MATCH(INDEX('任务登记'!$G$2:$G$201,MATCH(B25,'任务登记'!$A$2:$A$201,0)),'要件与标签'!$D$23:$D$29,0),"引用未来材料","字段齐备"))))))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10" t="str">
        <x:f>IF(COUNTA(A26:L26)=0,"",IF(OR(A26="",B26="",C26="",D26="",E26="",F26="",G26="",H26="",I26="",J26=""),"缺必填",IF(COUNTIF($A$2:$A$201,A26)&gt;1,"ID重复",IF(COUNTIF('任务登记'!$A$2:$A$201,B26)&lt;&gt;1,"任务ID无效",IF(COUNTIF('材料'!$A$2:$A$201,C26)&lt;&gt;1,"材料ID无效",IF(INDEX('材料'!$B$2:$B$201,MATCH(C26,'材料'!$A$2:$A$201,0))&lt;&gt;INDEX('任务登记'!$B$2:$B$201,MATCH(B26,'任务登记'!$A$2:$A$201,0)),"材料与任务跨案",IF(ISERROR(SEARCH(";"&amp;C26&amp;";",";"&amp;INDEX('任务登记'!$H$2:$H$201,MATCH(B26,'任务登记'!$A$2:$A$201,0))&amp;";")),"材料不在可见清单",IF(COUNTIF('要件与标签'!$D$23:$D$29,INDEX('材料'!$H$2:$H$201,MATCH(C26,'材料'!$A$2:$A$201,0)))&lt;&gt;1,"材料阶段无效",IF(COUNTIF('要件与标签'!$D$23:$D$29,INDEX('任务登记'!$G$2:$G$201,MATCH(B26,'任务登记'!$A$2:$A$201,0)))&lt;&gt;1,"任务阶段无效",IF(MATCH(INDEX('材料'!$H$2:$H$201,MATCH(C26,'材料'!$A$2:$A$201,0)),'要件与标签'!$D$23:$D$29,0)&gt;MATCH(INDEX('任务登记'!$G$2:$G$201,MATCH(B26,'任务登记'!$A$2:$A$201,0)),'要件与标签'!$D$23:$D$29,0),"引用未来材料","字段齐备"))))))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10" t="str">
        <x:f>IF(COUNTA(A27:L27)=0,"",IF(OR(A27="",B27="",C27="",D27="",E27="",F27="",G27="",H27="",I27="",J27=""),"缺必填",IF(COUNTIF($A$2:$A$201,A27)&gt;1,"ID重复",IF(COUNTIF('任务登记'!$A$2:$A$201,B27)&lt;&gt;1,"任务ID无效",IF(COUNTIF('材料'!$A$2:$A$201,C27)&lt;&gt;1,"材料ID无效",IF(INDEX('材料'!$B$2:$B$201,MATCH(C27,'材料'!$A$2:$A$201,0))&lt;&gt;INDEX('任务登记'!$B$2:$B$201,MATCH(B27,'任务登记'!$A$2:$A$201,0)),"材料与任务跨案",IF(ISERROR(SEARCH(";"&amp;C27&amp;";",";"&amp;INDEX('任务登记'!$H$2:$H$201,MATCH(B27,'任务登记'!$A$2:$A$201,0))&amp;";")),"材料不在可见清单",IF(COUNTIF('要件与标签'!$D$23:$D$29,INDEX('材料'!$H$2:$H$201,MATCH(C27,'材料'!$A$2:$A$201,0)))&lt;&gt;1,"材料阶段无效",IF(COUNTIF('要件与标签'!$D$23:$D$29,INDEX('任务登记'!$G$2:$G$201,MATCH(B27,'任务登记'!$A$2:$A$201,0)))&lt;&gt;1,"任务阶段无效",IF(MATCH(INDEX('材料'!$H$2:$H$201,MATCH(C27,'材料'!$A$2:$A$201,0)),'要件与标签'!$D$23:$D$29,0)&gt;MATCH(INDEX('任务登记'!$G$2:$G$201,MATCH(B27,'任务登记'!$A$2:$A$201,0)),'要件与标签'!$D$23:$D$29,0),"引用未来材料","字段齐备"))))))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10" t="str">
        <x:f>IF(COUNTA(A28:L28)=0,"",IF(OR(A28="",B28="",C28="",D28="",E28="",F28="",G28="",H28="",I28="",J28=""),"缺必填",IF(COUNTIF($A$2:$A$201,A28)&gt;1,"ID重复",IF(COUNTIF('任务登记'!$A$2:$A$201,B28)&lt;&gt;1,"任务ID无效",IF(COUNTIF('材料'!$A$2:$A$201,C28)&lt;&gt;1,"材料ID无效",IF(INDEX('材料'!$B$2:$B$201,MATCH(C28,'材料'!$A$2:$A$201,0))&lt;&gt;INDEX('任务登记'!$B$2:$B$201,MATCH(B28,'任务登记'!$A$2:$A$201,0)),"材料与任务跨案",IF(ISERROR(SEARCH(";"&amp;C28&amp;";",";"&amp;INDEX('任务登记'!$H$2:$H$201,MATCH(B28,'任务登记'!$A$2:$A$201,0))&amp;";")),"材料不在可见清单",IF(COUNTIF('要件与标签'!$D$23:$D$29,INDEX('材料'!$H$2:$H$201,MATCH(C28,'材料'!$A$2:$A$201,0)))&lt;&gt;1,"材料阶段无效",IF(COUNTIF('要件与标签'!$D$23:$D$29,INDEX('任务登记'!$G$2:$G$201,MATCH(B28,'任务登记'!$A$2:$A$201,0)))&lt;&gt;1,"任务阶段无效",IF(MATCH(INDEX('材料'!$H$2:$H$201,MATCH(C28,'材料'!$A$2:$A$201,0)),'要件与标签'!$D$23:$D$29,0)&gt;MATCH(INDEX('任务登记'!$G$2:$G$201,MATCH(B28,'任务登记'!$A$2:$A$201,0)),'要件与标签'!$D$23:$D$29,0),"引用未来材料","字段齐备"))))))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10" t="str">
        <x:f>IF(COUNTA(A29:L29)=0,"",IF(OR(A29="",B29="",C29="",D29="",E29="",F29="",G29="",H29="",I29="",J29=""),"缺必填",IF(COUNTIF($A$2:$A$201,A29)&gt;1,"ID重复",IF(COUNTIF('任务登记'!$A$2:$A$201,B29)&lt;&gt;1,"任务ID无效",IF(COUNTIF('材料'!$A$2:$A$201,C29)&lt;&gt;1,"材料ID无效",IF(INDEX('材料'!$B$2:$B$201,MATCH(C29,'材料'!$A$2:$A$201,0))&lt;&gt;INDEX('任务登记'!$B$2:$B$201,MATCH(B29,'任务登记'!$A$2:$A$201,0)),"材料与任务跨案",IF(ISERROR(SEARCH(";"&amp;C29&amp;";",";"&amp;INDEX('任务登记'!$H$2:$H$201,MATCH(B29,'任务登记'!$A$2:$A$201,0))&amp;";")),"材料不在可见清单",IF(COUNTIF('要件与标签'!$D$23:$D$29,INDEX('材料'!$H$2:$H$201,MATCH(C29,'材料'!$A$2:$A$201,0)))&lt;&gt;1,"材料阶段无效",IF(COUNTIF('要件与标签'!$D$23:$D$29,INDEX('任务登记'!$G$2:$G$201,MATCH(B29,'任务登记'!$A$2:$A$201,0)))&lt;&gt;1,"任务阶段无效",IF(MATCH(INDEX('材料'!$H$2:$H$201,MATCH(C29,'材料'!$A$2:$A$201,0)),'要件与标签'!$D$23:$D$29,0)&gt;MATCH(INDEX('任务登记'!$G$2:$G$201,MATCH(B29,'任务登记'!$A$2:$A$201,0)),'要件与标签'!$D$23:$D$29,0),"引用未来材料","字段齐备"))))))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10" t="str">
        <x:f>IF(COUNTA(A30:L30)=0,"",IF(OR(A30="",B30="",C30="",D30="",E30="",F30="",G30="",H30="",I30="",J30=""),"缺必填",IF(COUNTIF($A$2:$A$201,A30)&gt;1,"ID重复",IF(COUNTIF('任务登记'!$A$2:$A$201,B30)&lt;&gt;1,"任务ID无效",IF(COUNTIF('材料'!$A$2:$A$201,C30)&lt;&gt;1,"材料ID无效",IF(INDEX('材料'!$B$2:$B$201,MATCH(C30,'材料'!$A$2:$A$201,0))&lt;&gt;INDEX('任务登记'!$B$2:$B$201,MATCH(B30,'任务登记'!$A$2:$A$201,0)),"材料与任务跨案",IF(ISERROR(SEARCH(";"&amp;C30&amp;";",";"&amp;INDEX('任务登记'!$H$2:$H$201,MATCH(B30,'任务登记'!$A$2:$A$201,0))&amp;";")),"材料不在可见清单",IF(COUNTIF('要件与标签'!$D$23:$D$29,INDEX('材料'!$H$2:$H$201,MATCH(C30,'材料'!$A$2:$A$201,0)))&lt;&gt;1,"材料阶段无效",IF(COUNTIF('要件与标签'!$D$23:$D$29,INDEX('任务登记'!$G$2:$G$201,MATCH(B30,'任务登记'!$A$2:$A$201,0)))&lt;&gt;1,"任务阶段无效",IF(MATCH(INDEX('材料'!$H$2:$H$201,MATCH(C30,'材料'!$A$2:$A$201,0)),'要件与标签'!$D$23:$D$29,0)&gt;MATCH(INDEX('任务登记'!$G$2:$G$201,MATCH(B30,'任务登记'!$A$2:$A$201,0)),'要件与标签'!$D$23:$D$29,0),"引用未来材料","字段齐备"))))))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10" t="str">
        <x:f>IF(COUNTA(A31:L31)=0,"",IF(OR(A31="",B31="",C31="",D31="",E31="",F31="",G31="",H31="",I31="",J31=""),"缺必填",IF(COUNTIF($A$2:$A$201,A31)&gt;1,"ID重复",IF(COUNTIF('任务登记'!$A$2:$A$201,B31)&lt;&gt;1,"任务ID无效",IF(COUNTIF('材料'!$A$2:$A$201,C31)&lt;&gt;1,"材料ID无效",IF(INDEX('材料'!$B$2:$B$201,MATCH(C31,'材料'!$A$2:$A$201,0))&lt;&gt;INDEX('任务登记'!$B$2:$B$201,MATCH(B31,'任务登记'!$A$2:$A$201,0)),"材料与任务跨案",IF(ISERROR(SEARCH(";"&amp;C31&amp;";",";"&amp;INDEX('任务登记'!$H$2:$H$201,MATCH(B31,'任务登记'!$A$2:$A$201,0))&amp;";")),"材料不在可见清单",IF(COUNTIF('要件与标签'!$D$23:$D$29,INDEX('材料'!$H$2:$H$201,MATCH(C31,'材料'!$A$2:$A$201,0)))&lt;&gt;1,"材料阶段无效",IF(COUNTIF('要件与标签'!$D$23:$D$29,INDEX('任务登记'!$G$2:$G$201,MATCH(B31,'任务登记'!$A$2:$A$201,0)))&lt;&gt;1,"任务阶段无效",IF(MATCH(INDEX('材料'!$H$2:$H$201,MATCH(C31,'材料'!$A$2:$A$201,0)),'要件与标签'!$D$23:$D$29,0)&gt;MATCH(INDEX('任务登记'!$G$2:$G$201,MATCH(B31,'任务登记'!$A$2:$A$201,0)),'要件与标签'!$D$23:$D$29,0),"引用未来材料","字段齐备"))))))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10" t="str">
        <x:f>IF(COUNTA(A32:L32)=0,"",IF(OR(A32="",B32="",C32="",D32="",E32="",F32="",G32="",H32="",I32="",J32=""),"缺必填",IF(COUNTIF($A$2:$A$201,A32)&gt;1,"ID重复",IF(COUNTIF('任务登记'!$A$2:$A$201,B32)&lt;&gt;1,"任务ID无效",IF(COUNTIF('材料'!$A$2:$A$201,C32)&lt;&gt;1,"材料ID无效",IF(INDEX('材料'!$B$2:$B$201,MATCH(C32,'材料'!$A$2:$A$201,0))&lt;&gt;INDEX('任务登记'!$B$2:$B$201,MATCH(B32,'任务登记'!$A$2:$A$201,0)),"材料与任务跨案",IF(ISERROR(SEARCH(";"&amp;C32&amp;";",";"&amp;INDEX('任务登记'!$H$2:$H$201,MATCH(B32,'任务登记'!$A$2:$A$201,0))&amp;";")),"材料不在可见清单",IF(COUNTIF('要件与标签'!$D$23:$D$29,INDEX('材料'!$H$2:$H$201,MATCH(C32,'材料'!$A$2:$A$201,0)))&lt;&gt;1,"材料阶段无效",IF(COUNTIF('要件与标签'!$D$23:$D$29,INDEX('任务登记'!$G$2:$G$201,MATCH(B32,'任务登记'!$A$2:$A$201,0)))&lt;&gt;1,"任务阶段无效",IF(MATCH(INDEX('材料'!$H$2:$H$201,MATCH(C32,'材料'!$A$2:$A$201,0)),'要件与标签'!$D$23:$D$29,0)&gt;MATCH(INDEX('任务登记'!$G$2:$G$201,MATCH(B32,'任务登记'!$A$2:$A$201,0)),'要件与标签'!$D$23:$D$29,0),"引用未来材料","字段齐备"))))))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10" t="str">
        <x:f>IF(COUNTA(A33:L33)=0,"",IF(OR(A33="",B33="",C33="",D33="",E33="",F33="",G33="",H33="",I33="",J33=""),"缺必填",IF(COUNTIF($A$2:$A$201,A33)&gt;1,"ID重复",IF(COUNTIF('任务登记'!$A$2:$A$201,B33)&lt;&gt;1,"任务ID无效",IF(COUNTIF('材料'!$A$2:$A$201,C33)&lt;&gt;1,"材料ID无效",IF(INDEX('材料'!$B$2:$B$201,MATCH(C33,'材料'!$A$2:$A$201,0))&lt;&gt;INDEX('任务登记'!$B$2:$B$201,MATCH(B33,'任务登记'!$A$2:$A$201,0)),"材料与任务跨案",IF(ISERROR(SEARCH(";"&amp;C33&amp;";",";"&amp;INDEX('任务登记'!$H$2:$H$201,MATCH(B33,'任务登记'!$A$2:$A$201,0))&amp;";")),"材料不在可见清单",IF(COUNTIF('要件与标签'!$D$23:$D$29,INDEX('材料'!$H$2:$H$201,MATCH(C33,'材料'!$A$2:$A$201,0)))&lt;&gt;1,"材料阶段无效",IF(COUNTIF('要件与标签'!$D$23:$D$29,INDEX('任务登记'!$G$2:$G$201,MATCH(B33,'任务登记'!$A$2:$A$201,0)))&lt;&gt;1,"任务阶段无效",IF(MATCH(INDEX('材料'!$H$2:$H$201,MATCH(C33,'材料'!$A$2:$A$201,0)),'要件与标签'!$D$23:$D$29,0)&gt;MATCH(INDEX('任务登记'!$G$2:$G$201,MATCH(B33,'任务登记'!$A$2:$A$201,0)),'要件与标签'!$D$23:$D$29,0),"引用未来材料","字段齐备"))))))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10" t="str">
        <x:f>IF(COUNTA(A34:L34)=0,"",IF(OR(A34="",B34="",C34="",D34="",E34="",F34="",G34="",H34="",I34="",J34=""),"缺必填",IF(COUNTIF($A$2:$A$201,A34)&gt;1,"ID重复",IF(COUNTIF('任务登记'!$A$2:$A$201,B34)&lt;&gt;1,"任务ID无效",IF(COUNTIF('材料'!$A$2:$A$201,C34)&lt;&gt;1,"材料ID无效",IF(INDEX('材料'!$B$2:$B$201,MATCH(C34,'材料'!$A$2:$A$201,0))&lt;&gt;INDEX('任务登记'!$B$2:$B$201,MATCH(B34,'任务登记'!$A$2:$A$201,0)),"材料与任务跨案",IF(ISERROR(SEARCH(";"&amp;C34&amp;";",";"&amp;INDEX('任务登记'!$H$2:$H$201,MATCH(B34,'任务登记'!$A$2:$A$201,0))&amp;";")),"材料不在可见清单",IF(COUNTIF('要件与标签'!$D$23:$D$29,INDEX('材料'!$H$2:$H$201,MATCH(C34,'材料'!$A$2:$A$201,0)))&lt;&gt;1,"材料阶段无效",IF(COUNTIF('要件与标签'!$D$23:$D$29,INDEX('任务登记'!$G$2:$G$201,MATCH(B34,'任务登记'!$A$2:$A$201,0)))&lt;&gt;1,"任务阶段无效",IF(MATCH(INDEX('材料'!$H$2:$H$201,MATCH(C34,'材料'!$A$2:$A$201,0)),'要件与标签'!$D$23:$D$29,0)&gt;MATCH(INDEX('任务登记'!$G$2:$G$201,MATCH(B34,'任务登记'!$A$2:$A$201,0)),'要件与标签'!$D$23:$D$29,0),"引用未来材料","字段齐备"))))))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10" t="str">
        <x:f>IF(COUNTA(A35:L35)=0,"",IF(OR(A35="",B35="",C35="",D35="",E35="",F35="",G35="",H35="",I35="",J35=""),"缺必填",IF(COUNTIF($A$2:$A$201,A35)&gt;1,"ID重复",IF(COUNTIF('任务登记'!$A$2:$A$201,B35)&lt;&gt;1,"任务ID无效",IF(COUNTIF('材料'!$A$2:$A$201,C35)&lt;&gt;1,"材料ID无效",IF(INDEX('材料'!$B$2:$B$201,MATCH(C35,'材料'!$A$2:$A$201,0))&lt;&gt;INDEX('任务登记'!$B$2:$B$201,MATCH(B35,'任务登记'!$A$2:$A$201,0)),"材料与任务跨案",IF(ISERROR(SEARCH(";"&amp;C35&amp;";",";"&amp;INDEX('任务登记'!$H$2:$H$201,MATCH(B35,'任务登记'!$A$2:$A$201,0))&amp;";")),"材料不在可见清单",IF(COUNTIF('要件与标签'!$D$23:$D$29,INDEX('材料'!$H$2:$H$201,MATCH(C35,'材料'!$A$2:$A$201,0)))&lt;&gt;1,"材料阶段无效",IF(COUNTIF('要件与标签'!$D$23:$D$29,INDEX('任务登记'!$G$2:$G$201,MATCH(B35,'任务登记'!$A$2:$A$201,0)))&lt;&gt;1,"任务阶段无效",IF(MATCH(INDEX('材料'!$H$2:$H$201,MATCH(C35,'材料'!$A$2:$A$201,0)),'要件与标签'!$D$23:$D$29,0)&gt;MATCH(INDEX('任务登记'!$G$2:$G$201,MATCH(B35,'任务登记'!$A$2:$A$201,0)),'要件与标签'!$D$23:$D$29,0),"引用未来材料","字段齐备"))))))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10" t="str">
        <x:f>IF(COUNTA(A36:L36)=0,"",IF(OR(A36="",B36="",C36="",D36="",E36="",F36="",G36="",H36="",I36="",J36=""),"缺必填",IF(COUNTIF($A$2:$A$201,A36)&gt;1,"ID重复",IF(COUNTIF('任务登记'!$A$2:$A$201,B36)&lt;&gt;1,"任务ID无效",IF(COUNTIF('材料'!$A$2:$A$201,C36)&lt;&gt;1,"材料ID无效",IF(INDEX('材料'!$B$2:$B$201,MATCH(C36,'材料'!$A$2:$A$201,0))&lt;&gt;INDEX('任务登记'!$B$2:$B$201,MATCH(B36,'任务登记'!$A$2:$A$201,0)),"材料与任务跨案",IF(ISERROR(SEARCH(";"&amp;C36&amp;";",";"&amp;INDEX('任务登记'!$H$2:$H$201,MATCH(B36,'任务登记'!$A$2:$A$201,0))&amp;";")),"材料不在可见清单",IF(COUNTIF('要件与标签'!$D$23:$D$29,INDEX('材料'!$H$2:$H$201,MATCH(C36,'材料'!$A$2:$A$201,0)))&lt;&gt;1,"材料阶段无效",IF(COUNTIF('要件与标签'!$D$23:$D$29,INDEX('任务登记'!$G$2:$G$201,MATCH(B36,'任务登记'!$A$2:$A$201,0)))&lt;&gt;1,"任务阶段无效",IF(MATCH(INDEX('材料'!$H$2:$H$201,MATCH(C36,'材料'!$A$2:$A$201,0)),'要件与标签'!$D$23:$D$29,0)&gt;MATCH(INDEX('任务登记'!$G$2:$G$201,MATCH(B36,'任务登记'!$A$2:$A$201,0)),'要件与标签'!$D$23:$D$29,0),"引用未来材料","字段齐备"))))))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10" t="str">
        <x:f>IF(COUNTA(A37:L37)=0,"",IF(OR(A37="",B37="",C37="",D37="",E37="",F37="",G37="",H37="",I37="",J37=""),"缺必填",IF(COUNTIF($A$2:$A$201,A37)&gt;1,"ID重复",IF(COUNTIF('任务登记'!$A$2:$A$201,B37)&lt;&gt;1,"任务ID无效",IF(COUNTIF('材料'!$A$2:$A$201,C37)&lt;&gt;1,"材料ID无效",IF(INDEX('材料'!$B$2:$B$201,MATCH(C37,'材料'!$A$2:$A$201,0))&lt;&gt;INDEX('任务登记'!$B$2:$B$201,MATCH(B37,'任务登记'!$A$2:$A$201,0)),"材料与任务跨案",IF(ISERROR(SEARCH(";"&amp;C37&amp;";",";"&amp;INDEX('任务登记'!$H$2:$H$201,MATCH(B37,'任务登记'!$A$2:$A$201,0))&amp;";")),"材料不在可见清单",IF(COUNTIF('要件与标签'!$D$23:$D$29,INDEX('材料'!$H$2:$H$201,MATCH(C37,'材料'!$A$2:$A$201,0)))&lt;&gt;1,"材料阶段无效",IF(COUNTIF('要件与标签'!$D$23:$D$29,INDEX('任务登记'!$G$2:$G$201,MATCH(B37,'任务登记'!$A$2:$A$201,0)))&lt;&gt;1,"任务阶段无效",IF(MATCH(INDEX('材料'!$H$2:$H$201,MATCH(C37,'材料'!$A$2:$A$201,0)),'要件与标签'!$D$23:$D$29,0)&gt;MATCH(INDEX('任务登记'!$G$2:$G$201,MATCH(B37,'任务登记'!$A$2:$A$201,0)),'要件与标签'!$D$23:$D$29,0),"引用未来材料","字段齐备"))))))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10" t="str">
        <x:f>IF(COUNTA(A38:L38)=0,"",IF(OR(A38="",B38="",C38="",D38="",E38="",F38="",G38="",H38="",I38="",J38=""),"缺必填",IF(COUNTIF($A$2:$A$201,A38)&gt;1,"ID重复",IF(COUNTIF('任务登记'!$A$2:$A$201,B38)&lt;&gt;1,"任务ID无效",IF(COUNTIF('材料'!$A$2:$A$201,C38)&lt;&gt;1,"材料ID无效",IF(INDEX('材料'!$B$2:$B$201,MATCH(C38,'材料'!$A$2:$A$201,0))&lt;&gt;INDEX('任务登记'!$B$2:$B$201,MATCH(B38,'任务登记'!$A$2:$A$201,0)),"材料与任务跨案",IF(ISERROR(SEARCH(";"&amp;C38&amp;";",";"&amp;INDEX('任务登记'!$H$2:$H$201,MATCH(B38,'任务登记'!$A$2:$A$201,0))&amp;";")),"材料不在可见清单",IF(COUNTIF('要件与标签'!$D$23:$D$29,INDEX('材料'!$H$2:$H$201,MATCH(C38,'材料'!$A$2:$A$201,0)))&lt;&gt;1,"材料阶段无效",IF(COUNTIF('要件与标签'!$D$23:$D$29,INDEX('任务登记'!$G$2:$G$201,MATCH(B38,'任务登记'!$A$2:$A$201,0)))&lt;&gt;1,"任务阶段无效",IF(MATCH(INDEX('材料'!$H$2:$H$201,MATCH(C38,'材料'!$A$2:$A$201,0)),'要件与标签'!$D$23:$D$29,0)&gt;MATCH(INDEX('任务登记'!$G$2:$G$201,MATCH(B38,'任务登记'!$A$2:$A$201,0)),'要件与标签'!$D$23:$D$29,0),"引用未来材料","字段齐备"))))))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10" t="str">
        <x:f>IF(COUNTA(A39:L39)=0,"",IF(OR(A39="",B39="",C39="",D39="",E39="",F39="",G39="",H39="",I39="",J39=""),"缺必填",IF(COUNTIF($A$2:$A$201,A39)&gt;1,"ID重复",IF(COUNTIF('任务登记'!$A$2:$A$201,B39)&lt;&gt;1,"任务ID无效",IF(COUNTIF('材料'!$A$2:$A$201,C39)&lt;&gt;1,"材料ID无效",IF(INDEX('材料'!$B$2:$B$201,MATCH(C39,'材料'!$A$2:$A$201,0))&lt;&gt;INDEX('任务登记'!$B$2:$B$201,MATCH(B39,'任务登记'!$A$2:$A$201,0)),"材料与任务跨案",IF(ISERROR(SEARCH(";"&amp;C39&amp;";",";"&amp;INDEX('任务登记'!$H$2:$H$201,MATCH(B39,'任务登记'!$A$2:$A$201,0))&amp;";")),"材料不在可见清单",IF(COUNTIF('要件与标签'!$D$23:$D$29,INDEX('材料'!$H$2:$H$201,MATCH(C39,'材料'!$A$2:$A$201,0)))&lt;&gt;1,"材料阶段无效",IF(COUNTIF('要件与标签'!$D$23:$D$29,INDEX('任务登记'!$G$2:$G$201,MATCH(B39,'任务登记'!$A$2:$A$201,0)))&lt;&gt;1,"任务阶段无效",IF(MATCH(INDEX('材料'!$H$2:$H$201,MATCH(C39,'材料'!$A$2:$A$201,0)),'要件与标签'!$D$23:$D$29,0)&gt;MATCH(INDEX('任务登记'!$G$2:$G$201,MATCH(B39,'任务登记'!$A$2:$A$201,0)),'要件与标签'!$D$23:$D$29,0),"引用未来材料","字段齐备"))))))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10" t="str">
        <x:f>IF(COUNTA(A40:L40)=0,"",IF(OR(A40="",B40="",C40="",D40="",E40="",F40="",G40="",H40="",I40="",J40=""),"缺必填",IF(COUNTIF($A$2:$A$201,A40)&gt;1,"ID重复",IF(COUNTIF('任务登记'!$A$2:$A$201,B40)&lt;&gt;1,"任务ID无效",IF(COUNTIF('材料'!$A$2:$A$201,C40)&lt;&gt;1,"材料ID无效",IF(INDEX('材料'!$B$2:$B$201,MATCH(C40,'材料'!$A$2:$A$201,0))&lt;&gt;INDEX('任务登记'!$B$2:$B$201,MATCH(B40,'任务登记'!$A$2:$A$201,0)),"材料与任务跨案",IF(ISERROR(SEARCH(";"&amp;C40&amp;";",";"&amp;INDEX('任务登记'!$H$2:$H$201,MATCH(B40,'任务登记'!$A$2:$A$201,0))&amp;";")),"材料不在可见清单",IF(COUNTIF('要件与标签'!$D$23:$D$29,INDEX('材料'!$H$2:$H$201,MATCH(C40,'材料'!$A$2:$A$201,0)))&lt;&gt;1,"材料阶段无效",IF(COUNTIF('要件与标签'!$D$23:$D$29,INDEX('任务登记'!$G$2:$G$201,MATCH(B40,'任务登记'!$A$2:$A$201,0)))&lt;&gt;1,"任务阶段无效",IF(MATCH(INDEX('材料'!$H$2:$H$201,MATCH(C40,'材料'!$A$2:$A$201,0)),'要件与标签'!$D$23:$D$29,0)&gt;MATCH(INDEX('任务登记'!$G$2:$G$201,MATCH(B40,'任务登记'!$A$2:$A$201,0)),'要件与标签'!$D$23:$D$29,0),"引用未来材料","字段齐备"))))))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10" t="str">
        <x:f>IF(COUNTA(A41:L41)=0,"",IF(OR(A41="",B41="",C41="",D41="",E41="",F41="",G41="",H41="",I41="",J41=""),"缺必填",IF(COUNTIF($A$2:$A$201,A41)&gt;1,"ID重复",IF(COUNTIF('任务登记'!$A$2:$A$201,B41)&lt;&gt;1,"任务ID无效",IF(COUNTIF('材料'!$A$2:$A$201,C41)&lt;&gt;1,"材料ID无效",IF(INDEX('材料'!$B$2:$B$201,MATCH(C41,'材料'!$A$2:$A$201,0))&lt;&gt;INDEX('任务登记'!$B$2:$B$201,MATCH(B41,'任务登记'!$A$2:$A$201,0)),"材料与任务跨案",IF(ISERROR(SEARCH(";"&amp;C41&amp;";",";"&amp;INDEX('任务登记'!$H$2:$H$201,MATCH(B41,'任务登记'!$A$2:$A$201,0))&amp;";")),"材料不在可见清单",IF(COUNTIF('要件与标签'!$D$23:$D$29,INDEX('材料'!$H$2:$H$201,MATCH(C41,'材料'!$A$2:$A$201,0)))&lt;&gt;1,"材料阶段无效",IF(COUNTIF('要件与标签'!$D$23:$D$29,INDEX('任务登记'!$G$2:$G$201,MATCH(B41,'任务登记'!$A$2:$A$201,0)))&lt;&gt;1,"任务阶段无效",IF(MATCH(INDEX('材料'!$H$2:$H$201,MATCH(C41,'材料'!$A$2:$A$201,0)),'要件与标签'!$D$23:$D$29,0)&gt;MATCH(INDEX('任务登记'!$G$2:$G$201,MATCH(B41,'任务登记'!$A$2:$A$201,0)),'要件与标签'!$D$23:$D$29,0),"引用未来材料","字段齐备"))))))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10" t="str">
        <x:f>IF(COUNTA(A42:L42)=0,"",IF(OR(A42="",B42="",C42="",D42="",E42="",F42="",G42="",H42="",I42="",J42=""),"缺必填",IF(COUNTIF($A$2:$A$201,A42)&gt;1,"ID重复",IF(COUNTIF('任务登记'!$A$2:$A$201,B42)&lt;&gt;1,"任务ID无效",IF(COUNTIF('材料'!$A$2:$A$201,C42)&lt;&gt;1,"材料ID无效",IF(INDEX('材料'!$B$2:$B$201,MATCH(C42,'材料'!$A$2:$A$201,0))&lt;&gt;INDEX('任务登记'!$B$2:$B$201,MATCH(B42,'任务登记'!$A$2:$A$201,0)),"材料与任务跨案",IF(ISERROR(SEARCH(";"&amp;C42&amp;";",";"&amp;INDEX('任务登记'!$H$2:$H$201,MATCH(B42,'任务登记'!$A$2:$A$201,0))&amp;";")),"材料不在可见清单",IF(COUNTIF('要件与标签'!$D$23:$D$29,INDEX('材料'!$H$2:$H$201,MATCH(C42,'材料'!$A$2:$A$201,0)))&lt;&gt;1,"材料阶段无效",IF(COUNTIF('要件与标签'!$D$23:$D$29,INDEX('任务登记'!$G$2:$G$201,MATCH(B42,'任务登记'!$A$2:$A$201,0)))&lt;&gt;1,"任务阶段无效",IF(MATCH(INDEX('材料'!$H$2:$H$201,MATCH(C42,'材料'!$A$2:$A$201,0)),'要件与标签'!$D$23:$D$29,0)&gt;MATCH(INDEX('任务登记'!$G$2:$G$201,MATCH(B42,'任务登记'!$A$2:$A$201,0)),'要件与标签'!$D$23:$D$29,0),"引用未来材料","字段齐备"))))))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10" t="str">
        <x:f>IF(COUNTA(A43:L43)=0,"",IF(OR(A43="",B43="",C43="",D43="",E43="",F43="",G43="",H43="",I43="",J43=""),"缺必填",IF(COUNTIF($A$2:$A$201,A43)&gt;1,"ID重复",IF(COUNTIF('任务登记'!$A$2:$A$201,B43)&lt;&gt;1,"任务ID无效",IF(COUNTIF('材料'!$A$2:$A$201,C43)&lt;&gt;1,"材料ID无效",IF(INDEX('材料'!$B$2:$B$201,MATCH(C43,'材料'!$A$2:$A$201,0))&lt;&gt;INDEX('任务登记'!$B$2:$B$201,MATCH(B43,'任务登记'!$A$2:$A$201,0)),"材料与任务跨案",IF(ISERROR(SEARCH(";"&amp;C43&amp;";",";"&amp;INDEX('任务登记'!$H$2:$H$201,MATCH(B43,'任务登记'!$A$2:$A$201,0))&amp;";")),"材料不在可见清单",IF(COUNTIF('要件与标签'!$D$23:$D$29,INDEX('材料'!$H$2:$H$201,MATCH(C43,'材料'!$A$2:$A$201,0)))&lt;&gt;1,"材料阶段无效",IF(COUNTIF('要件与标签'!$D$23:$D$29,INDEX('任务登记'!$G$2:$G$201,MATCH(B43,'任务登记'!$A$2:$A$201,0)))&lt;&gt;1,"任务阶段无效",IF(MATCH(INDEX('材料'!$H$2:$H$201,MATCH(C43,'材料'!$A$2:$A$201,0)),'要件与标签'!$D$23:$D$29,0)&gt;MATCH(INDEX('任务登记'!$G$2:$G$201,MATCH(B43,'任务登记'!$A$2:$A$201,0)),'要件与标签'!$D$23:$D$29,0),"引用未来材料","字段齐备"))))))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10" t="str">
        <x:f>IF(COUNTA(A44:L44)=0,"",IF(OR(A44="",B44="",C44="",D44="",E44="",F44="",G44="",H44="",I44="",J44=""),"缺必填",IF(COUNTIF($A$2:$A$201,A44)&gt;1,"ID重复",IF(COUNTIF('任务登记'!$A$2:$A$201,B44)&lt;&gt;1,"任务ID无效",IF(COUNTIF('材料'!$A$2:$A$201,C44)&lt;&gt;1,"材料ID无效",IF(INDEX('材料'!$B$2:$B$201,MATCH(C44,'材料'!$A$2:$A$201,0))&lt;&gt;INDEX('任务登记'!$B$2:$B$201,MATCH(B44,'任务登记'!$A$2:$A$201,0)),"材料与任务跨案",IF(ISERROR(SEARCH(";"&amp;C44&amp;";",";"&amp;INDEX('任务登记'!$H$2:$H$201,MATCH(B44,'任务登记'!$A$2:$A$201,0))&amp;";")),"材料不在可见清单",IF(COUNTIF('要件与标签'!$D$23:$D$29,INDEX('材料'!$H$2:$H$201,MATCH(C44,'材料'!$A$2:$A$201,0)))&lt;&gt;1,"材料阶段无效",IF(COUNTIF('要件与标签'!$D$23:$D$29,INDEX('任务登记'!$G$2:$G$201,MATCH(B44,'任务登记'!$A$2:$A$201,0)))&lt;&gt;1,"任务阶段无效",IF(MATCH(INDEX('材料'!$H$2:$H$201,MATCH(C44,'材料'!$A$2:$A$201,0)),'要件与标签'!$D$23:$D$29,0)&gt;MATCH(INDEX('任务登记'!$G$2:$G$201,MATCH(B44,'任务登记'!$A$2:$A$201,0)),'要件与标签'!$D$23:$D$29,0),"引用未来材料","字段齐备"))))))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10" t="str">
        <x:f>IF(COUNTA(A45:L45)=0,"",IF(OR(A45="",B45="",C45="",D45="",E45="",F45="",G45="",H45="",I45="",J45=""),"缺必填",IF(COUNTIF($A$2:$A$201,A45)&gt;1,"ID重复",IF(COUNTIF('任务登记'!$A$2:$A$201,B45)&lt;&gt;1,"任务ID无效",IF(COUNTIF('材料'!$A$2:$A$201,C45)&lt;&gt;1,"材料ID无效",IF(INDEX('材料'!$B$2:$B$201,MATCH(C45,'材料'!$A$2:$A$201,0))&lt;&gt;INDEX('任务登记'!$B$2:$B$201,MATCH(B45,'任务登记'!$A$2:$A$201,0)),"材料与任务跨案",IF(ISERROR(SEARCH(";"&amp;C45&amp;";",";"&amp;INDEX('任务登记'!$H$2:$H$201,MATCH(B45,'任务登记'!$A$2:$A$201,0))&amp;";")),"材料不在可见清单",IF(COUNTIF('要件与标签'!$D$23:$D$29,INDEX('材料'!$H$2:$H$201,MATCH(C45,'材料'!$A$2:$A$201,0)))&lt;&gt;1,"材料阶段无效",IF(COUNTIF('要件与标签'!$D$23:$D$29,INDEX('任务登记'!$G$2:$G$201,MATCH(B45,'任务登记'!$A$2:$A$201,0)))&lt;&gt;1,"任务阶段无效",IF(MATCH(INDEX('材料'!$H$2:$H$201,MATCH(C45,'材料'!$A$2:$A$201,0)),'要件与标签'!$D$23:$D$29,0)&gt;MATCH(INDEX('任务登记'!$G$2:$G$201,MATCH(B45,'任务登记'!$A$2:$A$201,0)),'要件与标签'!$D$23:$D$29,0),"引用未来材料","字段齐备"))))))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10" t="str">
        <x:f>IF(COUNTA(A46:L46)=0,"",IF(OR(A46="",B46="",C46="",D46="",E46="",F46="",G46="",H46="",I46="",J46=""),"缺必填",IF(COUNTIF($A$2:$A$201,A46)&gt;1,"ID重复",IF(COUNTIF('任务登记'!$A$2:$A$201,B46)&lt;&gt;1,"任务ID无效",IF(COUNTIF('材料'!$A$2:$A$201,C46)&lt;&gt;1,"材料ID无效",IF(INDEX('材料'!$B$2:$B$201,MATCH(C46,'材料'!$A$2:$A$201,0))&lt;&gt;INDEX('任务登记'!$B$2:$B$201,MATCH(B46,'任务登记'!$A$2:$A$201,0)),"材料与任务跨案",IF(ISERROR(SEARCH(";"&amp;C46&amp;";",";"&amp;INDEX('任务登记'!$H$2:$H$201,MATCH(B46,'任务登记'!$A$2:$A$201,0))&amp;";")),"材料不在可见清单",IF(COUNTIF('要件与标签'!$D$23:$D$29,INDEX('材料'!$H$2:$H$201,MATCH(C46,'材料'!$A$2:$A$201,0)))&lt;&gt;1,"材料阶段无效",IF(COUNTIF('要件与标签'!$D$23:$D$29,INDEX('任务登记'!$G$2:$G$201,MATCH(B46,'任务登记'!$A$2:$A$201,0)))&lt;&gt;1,"任务阶段无效",IF(MATCH(INDEX('材料'!$H$2:$H$201,MATCH(C46,'材料'!$A$2:$A$201,0)),'要件与标签'!$D$23:$D$29,0)&gt;MATCH(INDEX('任务登记'!$G$2:$G$201,MATCH(B46,'任务登记'!$A$2:$A$201,0)),'要件与标签'!$D$23:$D$29,0),"引用未来材料","字段齐备"))))))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10" t="str">
        <x:f>IF(COUNTA(A47:L47)=0,"",IF(OR(A47="",B47="",C47="",D47="",E47="",F47="",G47="",H47="",I47="",J47=""),"缺必填",IF(COUNTIF($A$2:$A$201,A47)&gt;1,"ID重复",IF(COUNTIF('任务登记'!$A$2:$A$201,B47)&lt;&gt;1,"任务ID无效",IF(COUNTIF('材料'!$A$2:$A$201,C47)&lt;&gt;1,"材料ID无效",IF(INDEX('材料'!$B$2:$B$201,MATCH(C47,'材料'!$A$2:$A$201,0))&lt;&gt;INDEX('任务登记'!$B$2:$B$201,MATCH(B47,'任务登记'!$A$2:$A$201,0)),"材料与任务跨案",IF(ISERROR(SEARCH(";"&amp;C47&amp;";",";"&amp;INDEX('任务登记'!$H$2:$H$201,MATCH(B47,'任务登记'!$A$2:$A$201,0))&amp;";")),"材料不在可见清单",IF(COUNTIF('要件与标签'!$D$23:$D$29,INDEX('材料'!$H$2:$H$201,MATCH(C47,'材料'!$A$2:$A$201,0)))&lt;&gt;1,"材料阶段无效",IF(COUNTIF('要件与标签'!$D$23:$D$29,INDEX('任务登记'!$G$2:$G$201,MATCH(B47,'任务登记'!$A$2:$A$201,0)))&lt;&gt;1,"任务阶段无效",IF(MATCH(INDEX('材料'!$H$2:$H$201,MATCH(C47,'材料'!$A$2:$A$201,0)),'要件与标签'!$D$23:$D$29,0)&gt;MATCH(INDEX('任务登记'!$G$2:$G$201,MATCH(B47,'任务登记'!$A$2:$A$201,0)),'要件与标签'!$D$23:$D$29,0),"引用未来材料","字段齐备"))))))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10" t="str">
        <x:f>IF(COUNTA(A48:L48)=0,"",IF(OR(A48="",B48="",C48="",D48="",E48="",F48="",G48="",H48="",I48="",J48=""),"缺必填",IF(COUNTIF($A$2:$A$201,A48)&gt;1,"ID重复",IF(COUNTIF('任务登记'!$A$2:$A$201,B48)&lt;&gt;1,"任务ID无效",IF(COUNTIF('材料'!$A$2:$A$201,C48)&lt;&gt;1,"材料ID无效",IF(INDEX('材料'!$B$2:$B$201,MATCH(C48,'材料'!$A$2:$A$201,0))&lt;&gt;INDEX('任务登记'!$B$2:$B$201,MATCH(B48,'任务登记'!$A$2:$A$201,0)),"材料与任务跨案",IF(ISERROR(SEARCH(";"&amp;C48&amp;";",";"&amp;INDEX('任务登记'!$H$2:$H$201,MATCH(B48,'任务登记'!$A$2:$A$201,0))&amp;";")),"材料不在可见清单",IF(COUNTIF('要件与标签'!$D$23:$D$29,INDEX('材料'!$H$2:$H$201,MATCH(C48,'材料'!$A$2:$A$201,0)))&lt;&gt;1,"材料阶段无效",IF(COUNTIF('要件与标签'!$D$23:$D$29,INDEX('任务登记'!$G$2:$G$201,MATCH(B48,'任务登记'!$A$2:$A$201,0)))&lt;&gt;1,"任务阶段无效",IF(MATCH(INDEX('材料'!$H$2:$H$201,MATCH(C48,'材料'!$A$2:$A$201,0)),'要件与标签'!$D$23:$D$29,0)&gt;MATCH(INDEX('任务登记'!$G$2:$G$201,MATCH(B48,'任务登记'!$A$2:$A$201,0)),'要件与标签'!$D$23:$D$29,0),"引用未来材料","字段齐备"))))))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10" t="str">
        <x:f>IF(COUNTA(A49:L49)=0,"",IF(OR(A49="",B49="",C49="",D49="",E49="",F49="",G49="",H49="",I49="",J49=""),"缺必填",IF(COUNTIF($A$2:$A$201,A49)&gt;1,"ID重复",IF(COUNTIF('任务登记'!$A$2:$A$201,B49)&lt;&gt;1,"任务ID无效",IF(COUNTIF('材料'!$A$2:$A$201,C49)&lt;&gt;1,"材料ID无效",IF(INDEX('材料'!$B$2:$B$201,MATCH(C49,'材料'!$A$2:$A$201,0))&lt;&gt;INDEX('任务登记'!$B$2:$B$201,MATCH(B49,'任务登记'!$A$2:$A$201,0)),"材料与任务跨案",IF(ISERROR(SEARCH(";"&amp;C49&amp;";",";"&amp;INDEX('任务登记'!$H$2:$H$201,MATCH(B49,'任务登记'!$A$2:$A$201,0))&amp;";")),"材料不在可见清单",IF(COUNTIF('要件与标签'!$D$23:$D$29,INDEX('材料'!$H$2:$H$201,MATCH(C49,'材料'!$A$2:$A$201,0)))&lt;&gt;1,"材料阶段无效",IF(COUNTIF('要件与标签'!$D$23:$D$29,INDEX('任务登记'!$G$2:$G$201,MATCH(B49,'任务登记'!$A$2:$A$201,0)))&lt;&gt;1,"任务阶段无效",IF(MATCH(INDEX('材料'!$H$2:$H$201,MATCH(C49,'材料'!$A$2:$A$201,0)),'要件与标签'!$D$23:$D$29,0)&gt;MATCH(INDEX('任务登记'!$G$2:$G$201,MATCH(B49,'任务登记'!$A$2:$A$201,0)),'要件与标签'!$D$23:$D$29,0),"引用未来材料","字段齐备"))))))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10" t="str">
        <x:f>IF(COUNTA(A50:L50)=0,"",IF(OR(A50="",B50="",C50="",D50="",E50="",F50="",G50="",H50="",I50="",J50=""),"缺必填",IF(COUNTIF($A$2:$A$201,A50)&gt;1,"ID重复",IF(COUNTIF('任务登记'!$A$2:$A$201,B50)&lt;&gt;1,"任务ID无效",IF(COUNTIF('材料'!$A$2:$A$201,C50)&lt;&gt;1,"材料ID无效",IF(INDEX('材料'!$B$2:$B$201,MATCH(C50,'材料'!$A$2:$A$201,0))&lt;&gt;INDEX('任务登记'!$B$2:$B$201,MATCH(B50,'任务登记'!$A$2:$A$201,0)),"材料与任务跨案",IF(ISERROR(SEARCH(";"&amp;C50&amp;";",";"&amp;INDEX('任务登记'!$H$2:$H$201,MATCH(B50,'任务登记'!$A$2:$A$201,0))&amp;";")),"材料不在可见清单",IF(COUNTIF('要件与标签'!$D$23:$D$29,INDEX('材料'!$H$2:$H$201,MATCH(C50,'材料'!$A$2:$A$201,0)))&lt;&gt;1,"材料阶段无效",IF(COUNTIF('要件与标签'!$D$23:$D$29,INDEX('任务登记'!$G$2:$G$201,MATCH(B50,'任务登记'!$A$2:$A$201,0)))&lt;&gt;1,"任务阶段无效",IF(MATCH(INDEX('材料'!$H$2:$H$201,MATCH(C50,'材料'!$A$2:$A$201,0)),'要件与标签'!$D$23:$D$29,0)&gt;MATCH(INDEX('任务登记'!$G$2:$G$201,MATCH(B50,'任务登记'!$A$2:$A$201,0)),'要件与标签'!$D$23:$D$29,0),"引用未来材料","字段齐备"))))))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10" t="str">
        <x:f>IF(COUNTA(A51:L51)=0,"",IF(OR(A51="",B51="",C51="",D51="",E51="",F51="",G51="",H51="",I51="",J51=""),"缺必填",IF(COUNTIF($A$2:$A$201,A51)&gt;1,"ID重复",IF(COUNTIF('任务登记'!$A$2:$A$201,B51)&lt;&gt;1,"任务ID无效",IF(COUNTIF('材料'!$A$2:$A$201,C51)&lt;&gt;1,"材料ID无效",IF(INDEX('材料'!$B$2:$B$201,MATCH(C51,'材料'!$A$2:$A$201,0))&lt;&gt;INDEX('任务登记'!$B$2:$B$201,MATCH(B51,'任务登记'!$A$2:$A$201,0)),"材料与任务跨案",IF(ISERROR(SEARCH(";"&amp;C51&amp;";",";"&amp;INDEX('任务登记'!$H$2:$H$201,MATCH(B51,'任务登记'!$A$2:$A$201,0))&amp;";")),"材料不在可见清单",IF(COUNTIF('要件与标签'!$D$23:$D$29,INDEX('材料'!$H$2:$H$201,MATCH(C51,'材料'!$A$2:$A$201,0)))&lt;&gt;1,"材料阶段无效",IF(COUNTIF('要件与标签'!$D$23:$D$29,INDEX('任务登记'!$G$2:$G$201,MATCH(B51,'任务登记'!$A$2:$A$201,0)))&lt;&gt;1,"任务阶段无效",IF(MATCH(INDEX('材料'!$H$2:$H$201,MATCH(C51,'材料'!$A$2:$A$201,0)),'要件与标签'!$D$23:$D$29,0)&gt;MATCH(INDEX('任务登记'!$G$2:$G$201,MATCH(B51,'任务登记'!$A$2:$A$201,0)),'要件与标签'!$D$23:$D$29,0),"引用未来材料","字段齐备"))))))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10" t="str">
        <x:f>IF(COUNTA(A52:L52)=0,"",IF(OR(A52="",B52="",C52="",D52="",E52="",F52="",G52="",H52="",I52="",J52=""),"缺必填",IF(COUNTIF($A$2:$A$201,A52)&gt;1,"ID重复",IF(COUNTIF('任务登记'!$A$2:$A$201,B52)&lt;&gt;1,"任务ID无效",IF(COUNTIF('材料'!$A$2:$A$201,C52)&lt;&gt;1,"材料ID无效",IF(INDEX('材料'!$B$2:$B$201,MATCH(C52,'材料'!$A$2:$A$201,0))&lt;&gt;INDEX('任务登记'!$B$2:$B$201,MATCH(B52,'任务登记'!$A$2:$A$201,0)),"材料与任务跨案",IF(ISERROR(SEARCH(";"&amp;C52&amp;";",";"&amp;INDEX('任务登记'!$H$2:$H$201,MATCH(B52,'任务登记'!$A$2:$A$201,0))&amp;";")),"材料不在可见清单",IF(COUNTIF('要件与标签'!$D$23:$D$29,INDEX('材料'!$H$2:$H$201,MATCH(C52,'材料'!$A$2:$A$201,0)))&lt;&gt;1,"材料阶段无效",IF(COUNTIF('要件与标签'!$D$23:$D$29,INDEX('任务登记'!$G$2:$G$201,MATCH(B52,'任务登记'!$A$2:$A$201,0)))&lt;&gt;1,"任务阶段无效",IF(MATCH(INDEX('材料'!$H$2:$H$201,MATCH(C52,'材料'!$A$2:$A$201,0)),'要件与标签'!$D$23:$D$29,0)&gt;MATCH(INDEX('任务登记'!$G$2:$G$201,MATCH(B52,'任务登记'!$A$2:$A$201,0)),'要件与标签'!$D$23:$D$29,0),"引用未来材料","字段齐备"))))))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10" t="str">
        <x:f>IF(COUNTA(A53:L53)=0,"",IF(OR(A53="",B53="",C53="",D53="",E53="",F53="",G53="",H53="",I53="",J53=""),"缺必填",IF(COUNTIF($A$2:$A$201,A53)&gt;1,"ID重复",IF(COUNTIF('任务登记'!$A$2:$A$201,B53)&lt;&gt;1,"任务ID无效",IF(COUNTIF('材料'!$A$2:$A$201,C53)&lt;&gt;1,"材料ID无效",IF(INDEX('材料'!$B$2:$B$201,MATCH(C53,'材料'!$A$2:$A$201,0))&lt;&gt;INDEX('任务登记'!$B$2:$B$201,MATCH(B53,'任务登记'!$A$2:$A$201,0)),"材料与任务跨案",IF(ISERROR(SEARCH(";"&amp;C53&amp;";",";"&amp;INDEX('任务登记'!$H$2:$H$201,MATCH(B53,'任务登记'!$A$2:$A$201,0))&amp;";")),"材料不在可见清单",IF(COUNTIF('要件与标签'!$D$23:$D$29,INDEX('材料'!$H$2:$H$201,MATCH(C53,'材料'!$A$2:$A$201,0)))&lt;&gt;1,"材料阶段无效",IF(COUNTIF('要件与标签'!$D$23:$D$29,INDEX('任务登记'!$G$2:$G$201,MATCH(B53,'任务登记'!$A$2:$A$201,0)))&lt;&gt;1,"任务阶段无效",IF(MATCH(INDEX('材料'!$H$2:$H$201,MATCH(C53,'材料'!$A$2:$A$201,0)),'要件与标签'!$D$23:$D$29,0)&gt;MATCH(INDEX('任务登记'!$G$2:$G$201,MATCH(B53,'任务登记'!$A$2:$A$201,0)),'要件与标签'!$D$23:$D$29,0),"引用未来材料","字段齐备"))))))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10" t="str">
        <x:f>IF(COUNTA(A54:L54)=0,"",IF(OR(A54="",B54="",C54="",D54="",E54="",F54="",G54="",H54="",I54="",J54=""),"缺必填",IF(COUNTIF($A$2:$A$201,A54)&gt;1,"ID重复",IF(COUNTIF('任务登记'!$A$2:$A$201,B54)&lt;&gt;1,"任务ID无效",IF(COUNTIF('材料'!$A$2:$A$201,C54)&lt;&gt;1,"材料ID无效",IF(INDEX('材料'!$B$2:$B$201,MATCH(C54,'材料'!$A$2:$A$201,0))&lt;&gt;INDEX('任务登记'!$B$2:$B$201,MATCH(B54,'任务登记'!$A$2:$A$201,0)),"材料与任务跨案",IF(ISERROR(SEARCH(";"&amp;C54&amp;";",";"&amp;INDEX('任务登记'!$H$2:$H$201,MATCH(B54,'任务登记'!$A$2:$A$201,0))&amp;";")),"材料不在可见清单",IF(COUNTIF('要件与标签'!$D$23:$D$29,INDEX('材料'!$H$2:$H$201,MATCH(C54,'材料'!$A$2:$A$201,0)))&lt;&gt;1,"材料阶段无效",IF(COUNTIF('要件与标签'!$D$23:$D$29,INDEX('任务登记'!$G$2:$G$201,MATCH(B54,'任务登记'!$A$2:$A$201,0)))&lt;&gt;1,"任务阶段无效",IF(MATCH(INDEX('材料'!$H$2:$H$201,MATCH(C54,'材料'!$A$2:$A$201,0)),'要件与标签'!$D$23:$D$29,0)&gt;MATCH(INDEX('任务登记'!$G$2:$G$201,MATCH(B54,'任务登记'!$A$2:$A$201,0)),'要件与标签'!$D$23:$D$29,0),"引用未来材料","字段齐备"))))))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10" t="str">
        <x:f>IF(COUNTA(A55:L55)=0,"",IF(OR(A55="",B55="",C55="",D55="",E55="",F55="",G55="",H55="",I55="",J55=""),"缺必填",IF(COUNTIF($A$2:$A$201,A55)&gt;1,"ID重复",IF(COUNTIF('任务登记'!$A$2:$A$201,B55)&lt;&gt;1,"任务ID无效",IF(COUNTIF('材料'!$A$2:$A$201,C55)&lt;&gt;1,"材料ID无效",IF(INDEX('材料'!$B$2:$B$201,MATCH(C55,'材料'!$A$2:$A$201,0))&lt;&gt;INDEX('任务登记'!$B$2:$B$201,MATCH(B55,'任务登记'!$A$2:$A$201,0)),"材料与任务跨案",IF(ISERROR(SEARCH(";"&amp;C55&amp;";",";"&amp;INDEX('任务登记'!$H$2:$H$201,MATCH(B55,'任务登记'!$A$2:$A$201,0))&amp;";")),"材料不在可见清单",IF(COUNTIF('要件与标签'!$D$23:$D$29,INDEX('材料'!$H$2:$H$201,MATCH(C55,'材料'!$A$2:$A$201,0)))&lt;&gt;1,"材料阶段无效",IF(COUNTIF('要件与标签'!$D$23:$D$29,INDEX('任务登记'!$G$2:$G$201,MATCH(B55,'任务登记'!$A$2:$A$201,0)))&lt;&gt;1,"任务阶段无效",IF(MATCH(INDEX('材料'!$H$2:$H$201,MATCH(C55,'材料'!$A$2:$A$201,0)),'要件与标签'!$D$23:$D$29,0)&gt;MATCH(INDEX('任务登记'!$G$2:$G$201,MATCH(B55,'任务登记'!$A$2:$A$201,0)),'要件与标签'!$D$23:$D$29,0),"引用未来材料","字段齐备"))))))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10" t="str">
        <x:f>IF(COUNTA(A56:L56)=0,"",IF(OR(A56="",B56="",C56="",D56="",E56="",F56="",G56="",H56="",I56="",J56=""),"缺必填",IF(COUNTIF($A$2:$A$201,A56)&gt;1,"ID重复",IF(COUNTIF('任务登记'!$A$2:$A$201,B56)&lt;&gt;1,"任务ID无效",IF(COUNTIF('材料'!$A$2:$A$201,C56)&lt;&gt;1,"材料ID无效",IF(INDEX('材料'!$B$2:$B$201,MATCH(C56,'材料'!$A$2:$A$201,0))&lt;&gt;INDEX('任务登记'!$B$2:$B$201,MATCH(B56,'任务登记'!$A$2:$A$201,0)),"材料与任务跨案",IF(ISERROR(SEARCH(";"&amp;C56&amp;";",";"&amp;INDEX('任务登记'!$H$2:$H$201,MATCH(B56,'任务登记'!$A$2:$A$201,0))&amp;";")),"材料不在可见清单",IF(COUNTIF('要件与标签'!$D$23:$D$29,INDEX('材料'!$H$2:$H$201,MATCH(C56,'材料'!$A$2:$A$201,0)))&lt;&gt;1,"材料阶段无效",IF(COUNTIF('要件与标签'!$D$23:$D$29,INDEX('任务登记'!$G$2:$G$201,MATCH(B56,'任务登记'!$A$2:$A$201,0)))&lt;&gt;1,"任务阶段无效",IF(MATCH(INDEX('材料'!$H$2:$H$201,MATCH(C56,'材料'!$A$2:$A$201,0)),'要件与标签'!$D$23:$D$29,0)&gt;MATCH(INDEX('任务登记'!$G$2:$G$201,MATCH(B56,'任务登记'!$A$2:$A$201,0)),'要件与标签'!$D$23:$D$29,0),"引用未来材料","字段齐备"))))))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10" t="str">
        <x:f>IF(COUNTA(A57:L57)=0,"",IF(OR(A57="",B57="",C57="",D57="",E57="",F57="",G57="",H57="",I57="",J57=""),"缺必填",IF(COUNTIF($A$2:$A$201,A57)&gt;1,"ID重复",IF(COUNTIF('任务登记'!$A$2:$A$201,B57)&lt;&gt;1,"任务ID无效",IF(COUNTIF('材料'!$A$2:$A$201,C57)&lt;&gt;1,"材料ID无效",IF(INDEX('材料'!$B$2:$B$201,MATCH(C57,'材料'!$A$2:$A$201,0))&lt;&gt;INDEX('任务登记'!$B$2:$B$201,MATCH(B57,'任务登记'!$A$2:$A$201,0)),"材料与任务跨案",IF(ISERROR(SEARCH(";"&amp;C57&amp;";",";"&amp;INDEX('任务登记'!$H$2:$H$201,MATCH(B57,'任务登记'!$A$2:$A$201,0))&amp;";")),"材料不在可见清单",IF(COUNTIF('要件与标签'!$D$23:$D$29,INDEX('材料'!$H$2:$H$201,MATCH(C57,'材料'!$A$2:$A$201,0)))&lt;&gt;1,"材料阶段无效",IF(COUNTIF('要件与标签'!$D$23:$D$29,INDEX('任务登记'!$G$2:$G$201,MATCH(B57,'任务登记'!$A$2:$A$201,0)))&lt;&gt;1,"任务阶段无效",IF(MATCH(INDEX('材料'!$H$2:$H$201,MATCH(C57,'材料'!$A$2:$A$201,0)),'要件与标签'!$D$23:$D$29,0)&gt;MATCH(INDEX('任务登记'!$G$2:$G$201,MATCH(B57,'任务登记'!$A$2:$A$201,0)),'要件与标签'!$D$23:$D$29,0),"引用未来材料","字段齐备"))))))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10" t="str">
        <x:f>IF(COUNTA(A58:L58)=0,"",IF(OR(A58="",B58="",C58="",D58="",E58="",F58="",G58="",H58="",I58="",J58=""),"缺必填",IF(COUNTIF($A$2:$A$201,A58)&gt;1,"ID重复",IF(COUNTIF('任务登记'!$A$2:$A$201,B58)&lt;&gt;1,"任务ID无效",IF(COUNTIF('材料'!$A$2:$A$201,C58)&lt;&gt;1,"材料ID无效",IF(INDEX('材料'!$B$2:$B$201,MATCH(C58,'材料'!$A$2:$A$201,0))&lt;&gt;INDEX('任务登记'!$B$2:$B$201,MATCH(B58,'任务登记'!$A$2:$A$201,0)),"材料与任务跨案",IF(ISERROR(SEARCH(";"&amp;C58&amp;";",";"&amp;INDEX('任务登记'!$H$2:$H$201,MATCH(B58,'任务登记'!$A$2:$A$201,0))&amp;";")),"材料不在可见清单",IF(COUNTIF('要件与标签'!$D$23:$D$29,INDEX('材料'!$H$2:$H$201,MATCH(C58,'材料'!$A$2:$A$201,0)))&lt;&gt;1,"材料阶段无效",IF(COUNTIF('要件与标签'!$D$23:$D$29,INDEX('任务登记'!$G$2:$G$201,MATCH(B58,'任务登记'!$A$2:$A$201,0)))&lt;&gt;1,"任务阶段无效",IF(MATCH(INDEX('材料'!$H$2:$H$201,MATCH(C58,'材料'!$A$2:$A$201,0)),'要件与标签'!$D$23:$D$29,0)&gt;MATCH(INDEX('任务登记'!$G$2:$G$201,MATCH(B58,'任务登记'!$A$2:$A$201,0)),'要件与标签'!$D$23:$D$29,0),"引用未来材料","字段齐备"))))))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10" t="str">
        <x:f>IF(COUNTA(A59:L59)=0,"",IF(OR(A59="",B59="",C59="",D59="",E59="",F59="",G59="",H59="",I59="",J59=""),"缺必填",IF(COUNTIF($A$2:$A$201,A59)&gt;1,"ID重复",IF(COUNTIF('任务登记'!$A$2:$A$201,B59)&lt;&gt;1,"任务ID无效",IF(COUNTIF('材料'!$A$2:$A$201,C59)&lt;&gt;1,"材料ID无效",IF(INDEX('材料'!$B$2:$B$201,MATCH(C59,'材料'!$A$2:$A$201,0))&lt;&gt;INDEX('任务登记'!$B$2:$B$201,MATCH(B59,'任务登记'!$A$2:$A$201,0)),"材料与任务跨案",IF(ISERROR(SEARCH(";"&amp;C59&amp;";",";"&amp;INDEX('任务登记'!$H$2:$H$201,MATCH(B59,'任务登记'!$A$2:$A$201,0))&amp;";")),"材料不在可见清单",IF(COUNTIF('要件与标签'!$D$23:$D$29,INDEX('材料'!$H$2:$H$201,MATCH(C59,'材料'!$A$2:$A$201,0)))&lt;&gt;1,"材料阶段无效",IF(COUNTIF('要件与标签'!$D$23:$D$29,INDEX('任务登记'!$G$2:$G$201,MATCH(B59,'任务登记'!$A$2:$A$201,0)))&lt;&gt;1,"任务阶段无效",IF(MATCH(INDEX('材料'!$H$2:$H$201,MATCH(C59,'材料'!$A$2:$A$201,0)),'要件与标签'!$D$23:$D$29,0)&gt;MATCH(INDEX('任务登记'!$G$2:$G$201,MATCH(B59,'任务登记'!$A$2:$A$201,0)),'要件与标签'!$D$23:$D$29,0),"引用未来材料","字段齐备"))))))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10" t="str">
        <x:f>IF(COUNTA(A60:L60)=0,"",IF(OR(A60="",B60="",C60="",D60="",E60="",F60="",G60="",H60="",I60="",J60=""),"缺必填",IF(COUNTIF($A$2:$A$201,A60)&gt;1,"ID重复",IF(COUNTIF('任务登记'!$A$2:$A$201,B60)&lt;&gt;1,"任务ID无效",IF(COUNTIF('材料'!$A$2:$A$201,C60)&lt;&gt;1,"材料ID无效",IF(INDEX('材料'!$B$2:$B$201,MATCH(C60,'材料'!$A$2:$A$201,0))&lt;&gt;INDEX('任务登记'!$B$2:$B$201,MATCH(B60,'任务登记'!$A$2:$A$201,0)),"材料与任务跨案",IF(ISERROR(SEARCH(";"&amp;C60&amp;";",";"&amp;INDEX('任务登记'!$H$2:$H$201,MATCH(B60,'任务登记'!$A$2:$A$201,0))&amp;";")),"材料不在可见清单",IF(COUNTIF('要件与标签'!$D$23:$D$29,INDEX('材料'!$H$2:$H$201,MATCH(C60,'材料'!$A$2:$A$201,0)))&lt;&gt;1,"材料阶段无效",IF(COUNTIF('要件与标签'!$D$23:$D$29,INDEX('任务登记'!$G$2:$G$201,MATCH(B60,'任务登记'!$A$2:$A$201,0)))&lt;&gt;1,"任务阶段无效",IF(MATCH(INDEX('材料'!$H$2:$H$201,MATCH(C60,'材料'!$A$2:$A$201,0)),'要件与标签'!$D$23:$D$29,0)&gt;MATCH(INDEX('任务登记'!$G$2:$G$201,MATCH(B60,'任务登记'!$A$2:$A$201,0)),'要件与标签'!$D$23:$D$29,0),"引用未来材料","字段齐备"))))))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10" t="str">
        <x:f>IF(COUNTA(A61:L61)=0,"",IF(OR(A61="",B61="",C61="",D61="",E61="",F61="",G61="",H61="",I61="",J61=""),"缺必填",IF(COUNTIF($A$2:$A$201,A61)&gt;1,"ID重复",IF(COUNTIF('任务登记'!$A$2:$A$201,B61)&lt;&gt;1,"任务ID无效",IF(COUNTIF('材料'!$A$2:$A$201,C61)&lt;&gt;1,"材料ID无效",IF(INDEX('材料'!$B$2:$B$201,MATCH(C61,'材料'!$A$2:$A$201,0))&lt;&gt;INDEX('任务登记'!$B$2:$B$201,MATCH(B61,'任务登记'!$A$2:$A$201,0)),"材料与任务跨案",IF(ISERROR(SEARCH(";"&amp;C61&amp;";",";"&amp;INDEX('任务登记'!$H$2:$H$201,MATCH(B61,'任务登记'!$A$2:$A$201,0))&amp;";")),"材料不在可见清单",IF(COUNTIF('要件与标签'!$D$23:$D$29,INDEX('材料'!$H$2:$H$201,MATCH(C61,'材料'!$A$2:$A$201,0)))&lt;&gt;1,"材料阶段无效",IF(COUNTIF('要件与标签'!$D$23:$D$29,INDEX('任务登记'!$G$2:$G$201,MATCH(B61,'任务登记'!$A$2:$A$201,0)))&lt;&gt;1,"任务阶段无效",IF(MATCH(INDEX('材料'!$H$2:$H$201,MATCH(C61,'材料'!$A$2:$A$201,0)),'要件与标签'!$D$23:$D$29,0)&gt;MATCH(INDEX('任务登记'!$G$2:$G$201,MATCH(B61,'任务登记'!$A$2:$A$201,0)),'要件与标签'!$D$23:$D$29,0),"引用未来材料","字段齐备"))))))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10" t="str">
        <x:f>IF(COUNTA(A62:L62)=0,"",IF(OR(A62="",B62="",C62="",D62="",E62="",F62="",G62="",H62="",I62="",J62=""),"缺必填",IF(COUNTIF($A$2:$A$201,A62)&gt;1,"ID重复",IF(COUNTIF('任务登记'!$A$2:$A$201,B62)&lt;&gt;1,"任务ID无效",IF(COUNTIF('材料'!$A$2:$A$201,C62)&lt;&gt;1,"材料ID无效",IF(INDEX('材料'!$B$2:$B$201,MATCH(C62,'材料'!$A$2:$A$201,0))&lt;&gt;INDEX('任务登记'!$B$2:$B$201,MATCH(B62,'任务登记'!$A$2:$A$201,0)),"材料与任务跨案",IF(ISERROR(SEARCH(";"&amp;C62&amp;";",";"&amp;INDEX('任务登记'!$H$2:$H$201,MATCH(B62,'任务登记'!$A$2:$A$201,0))&amp;";")),"材料不在可见清单",IF(COUNTIF('要件与标签'!$D$23:$D$29,INDEX('材料'!$H$2:$H$201,MATCH(C62,'材料'!$A$2:$A$201,0)))&lt;&gt;1,"材料阶段无效",IF(COUNTIF('要件与标签'!$D$23:$D$29,INDEX('任务登记'!$G$2:$G$201,MATCH(B62,'任务登记'!$A$2:$A$201,0)))&lt;&gt;1,"任务阶段无效",IF(MATCH(INDEX('材料'!$H$2:$H$201,MATCH(C62,'材料'!$A$2:$A$201,0)),'要件与标签'!$D$23:$D$29,0)&gt;MATCH(INDEX('任务登记'!$G$2:$G$201,MATCH(B62,'任务登记'!$A$2:$A$201,0)),'要件与标签'!$D$23:$D$29,0),"引用未来材料","字段齐备"))))))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10" t="str">
        <x:f>IF(COUNTA(A63:L63)=0,"",IF(OR(A63="",B63="",C63="",D63="",E63="",F63="",G63="",H63="",I63="",J63=""),"缺必填",IF(COUNTIF($A$2:$A$201,A63)&gt;1,"ID重复",IF(COUNTIF('任务登记'!$A$2:$A$201,B63)&lt;&gt;1,"任务ID无效",IF(COUNTIF('材料'!$A$2:$A$201,C63)&lt;&gt;1,"材料ID无效",IF(INDEX('材料'!$B$2:$B$201,MATCH(C63,'材料'!$A$2:$A$201,0))&lt;&gt;INDEX('任务登记'!$B$2:$B$201,MATCH(B63,'任务登记'!$A$2:$A$201,0)),"材料与任务跨案",IF(ISERROR(SEARCH(";"&amp;C63&amp;";",";"&amp;INDEX('任务登记'!$H$2:$H$201,MATCH(B63,'任务登记'!$A$2:$A$201,0))&amp;";")),"材料不在可见清单",IF(COUNTIF('要件与标签'!$D$23:$D$29,INDEX('材料'!$H$2:$H$201,MATCH(C63,'材料'!$A$2:$A$201,0)))&lt;&gt;1,"材料阶段无效",IF(COUNTIF('要件与标签'!$D$23:$D$29,INDEX('任务登记'!$G$2:$G$201,MATCH(B63,'任务登记'!$A$2:$A$201,0)))&lt;&gt;1,"任务阶段无效",IF(MATCH(INDEX('材料'!$H$2:$H$201,MATCH(C63,'材料'!$A$2:$A$201,0)),'要件与标签'!$D$23:$D$29,0)&gt;MATCH(INDEX('任务登记'!$G$2:$G$201,MATCH(B63,'任务登记'!$A$2:$A$201,0)),'要件与标签'!$D$23:$D$29,0),"引用未来材料","字段齐备"))))))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10" t="str">
        <x:f>IF(COUNTA(A64:L64)=0,"",IF(OR(A64="",B64="",C64="",D64="",E64="",F64="",G64="",H64="",I64="",J64=""),"缺必填",IF(COUNTIF($A$2:$A$201,A64)&gt;1,"ID重复",IF(COUNTIF('任务登记'!$A$2:$A$201,B64)&lt;&gt;1,"任务ID无效",IF(COUNTIF('材料'!$A$2:$A$201,C64)&lt;&gt;1,"材料ID无效",IF(INDEX('材料'!$B$2:$B$201,MATCH(C64,'材料'!$A$2:$A$201,0))&lt;&gt;INDEX('任务登记'!$B$2:$B$201,MATCH(B64,'任务登记'!$A$2:$A$201,0)),"材料与任务跨案",IF(ISERROR(SEARCH(";"&amp;C64&amp;";",";"&amp;INDEX('任务登记'!$H$2:$H$201,MATCH(B64,'任务登记'!$A$2:$A$201,0))&amp;";")),"材料不在可见清单",IF(COUNTIF('要件与标签'!$D$23:$D$29,INDEX('材料'!$H$2:$H$201,MATCH(C64,'材料'!$A$2:$A$201,0)))&lt;&gt;1,"材料阶段无效",IF(COUNTIF('要件与标签'!$D$23:$D$29,INDEX('任务登记'!$G$2:$G$201,MATCH(B64,'任务登记'!$A$2:$A$201,0)))&lt;&gt;1,"任务阶段无效",IF(MATCH(INDEX('材料'!$H$2:$H$201,MATCH(C64,'材料'!$A$2:$A$201,0)),'要件与标签'!$D$23:$D$29,0)&gt;MATCH(INDEX('任务登记'!$G$2:$G$201,MATCH(B64,'任务登记'!$A$2:$A$201,0)),'要件与标签'!$D$23:$D$29,0),"引用未来材料","字段齐备"))))))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10" t="str">
        <x:f>IF(COUNTA(A65:L65)=0,"",IF(OR(A65="",B65="",C65="",D65="",E65="",F65="",G65="",H65="",I65="",J65=""),"缺必填",IF(COUNTIF($A$2:$A$201,A65)&gt;1,"ID重复",IF(COUNTIF('任务登记'!$A$2:$A$201,B65)&lt;&gt;1,"任务ID无效",IF(COUNTIF('材料'!$A$2:$A$201,C65)&lt;&gt;1,"材料ID无效",IF(INDEX('材料'!$B$2:$B$201,MATCH(C65,'材料'!$A$2:$A$201,0))&lt;&gt;INDEX('任务登记'!$B$2:$B$201,MATCH(B65,'任务登记'!$A$2:$A$201,0)),"材料与任务跨案",IF(ISERROR(SEARCH(";"&amp;C65&amp;";",";"&amp;INDEX('任务登记'!$H$2:$H$201,MATCH(B65,'任务登记'!$A$2:$A$201,0))&amp;";")),"材料不在可见清单",IF(COUNTIF('要件与标签'!$D$23:$D$29,INDEX('材料'!$H$2:$H$201,MATCH(C65,'材料'!$A$2:$A$201,0)))&lt;&gt;1,"材料阶段无效",IF(COUNTIF('要件与标签'!$D$23:$D$29,INDEX('任务登记'!$G$2:$G$201,MATCH(B65,'任务登记'!$A$2:$A$201,0)))&lt;&gt;1,"任务阶段无效",IF(MATCH(INDEX('材料'!$H$2:$H$201,MATCH(C65,'材料'!$A$2:$A$201,0)),'要件与标签'!$D$23:$D$29,0)&gt;MATCH(INDEX('任务登记'!$G$2:$G$201,MATCH(B65,'任务登记'!$A$2:$A$201,0)),'要件与标签'!$D$23:$D$29,0),"引用未来材料","字段齐备"))))))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10" t="str">
        <x:f>IF(COUNTA(A66:L66)=0,"",IF(OR(A66="",B66="",C66="",D66="",E66="",F66="",G66="",H66="",I66="",J66=""),"缺必填",IF(COUNTIF($A$2:$A$201,A66)&gt;1,"ID重复",IF(COUNTIF('任务登记'!$A$2:$A$201,B66)&lt;&gt;1,"任务ID无效",IF(COUNTIF('材料'!$A$2:$A$201,C66)&lt;&gt;1,"材料ID无效",IF(INDEX('材料'!$B$2:$B$201,MATCH(C66,'材料'!$A$2:$A$201,0))&lt;&gt;INDEX('任务登记'!$B$2:$B$201,MATCH(B66,'任务登记'!$A$2:$A$201,0)),"材料与任务跨案",IF(ISERROR(SEARCH(";"&amp;C66&amp;";",";"&amp;INDEX('任务登记'!$H$2:$H$201,MATCH(B66,'任务登记'!$A$2:$A$201,0))&amp;";")),"材料不在可见清单",IF(COUNTIF('要件与标签'!$D$23:$D$29,INDEX('材料'!$H$2:$H$201,MATCH(C66,'材料'!$A$2:$A$201,0)))&lt;&gt;1,"材料阶段无效",IF(COUNTIF('要件与标签'!$D$23:$D$29,INDEX('任务登记'!$G$2:$G$201,MATCH(B66,'任务登记'!$A$2:$A$201,0)))&lt;&gt;1,"任务阶段无效",IF(MATCH(INDEX('材料'!$H$2:$H$201,MATCH(C66,'材料'!$A$2:$A$201,0)),'要件与标签'!$D$23:$D$29,0)&gt;MATCH(INDEX('任务登记'!$G$2:$G$201,MATCH(B66,'任务登记'!$A$2:$A$201,0)),'要件与标签'!$D$23:$D$29,0),"引用未来材料","字段齐备"))))))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10" t="str">
        <x:f>IF(COUNTA(A67:L67)=0,"",IF(OR(A67="",B67="",C67="",D67="",E67="",F67="",G67="",H67="",I67="",J67=""),"缺必填",IF(COUNTIF($A$2:$A$201,A67)&gt;1,"ID重复",IF(COUNTIF('任务登记'!$A$2:$A$201,B67)&lt;&gt;1,"任务ID无效",IF(COUNTIF('材料'!$A$2:$A$201,C67)&lt;&gt;1,"材料ID无效",IF(INDEX('材料'!$B$2:$B$201,MATCH(C67,'材料'!$A$2:$A$201,0))&lt;&gt;INDEX('任务登记'!$B$2:$B$201,MATCH(B67,'任务登记'!$A$2:$A$201,0)),"材料与任务跨案",IF(ISERROR(SEARCH(";"&amp;C67&amp;";",";"&amp;INDEX('任务登记'!$H$2:$H$201,MATCH(B67,'任务登记'!$A$2:$A$201,0))&amp;";")),"材料不在可见清单",IF(COUNTIF('要件与标签'!$D$23:$D$29,INDEX('材料'!$H$2:$H$201,MATCH(C67,'材料'!$A$2:$A$201,0)))&lt;&gt;1,"材料阶段无效",IF(COUNTIF('要件与标签'!$D$23:$D$29,INDEX('任务登记'!$G$2:$G$201,MATCH(B67,'任务登记'!$A$2:$A$201,0)))&lt;&gt;1,"任务阶段无效",IF(MATCH(INDEX('材料'!$H$2:$H$201,MATCH(C67,'材料'!$A$2:$A$201,0)),'要件与标签'!$D$23:$D$29,0)&gt;MATCH(INDEX('任务登记'!$G$2:$G$201,MATCH(B67,'任务登记'!$A$2:$A$201,0)),'要件与标签'!$D$23:$D$29,0),"引用未来材料","字段齐备"))))))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10" t="str">
        <x:f>IF(COUNTA(A68:L68)=0,"",IF(OR(A68="",B68="",C68="",D68="",E68="",F68="",G68="",H68="",I68="",J68=""),"缺必填",IF(COUNTIF($A$2:$A$201,A68)&gt;1,"ID重复",IF(COUNTIF('任务登记'!$A$2:$A$201,B68)&lt;&gt;1,"任务ID无效",IF(COUNTIF('材料'!$A$2:$A$201,C68)&lt;&gt;1,"材料ID无效",IF(INDEX('材料'!$B$2:$B$201,MATCH(C68,'材料'!$A$2:$A$201,0))&lt;&gt;INDEX('任务登记'!$B$2:$B$201,MATCH(B68,'任务登记'!$A$2:$A$201,0)),"材料与任务跨案",IF(ISERROR(SEARCH(";"&amp;C68&amp;";",";"&amp;INDEX('任务登记'!$H$2:$H$201,MATCH(B68,'任务登记'!$A$2:$A$201,0))&amp;";")),"材料不在可见清单",IF(COUNTIF('要件与标签'!$D$23:$D$29,INDEX('材料'!$H$2:$H$201,MATCH(C68,'材料'!$A$2:$A$201,0)))&lt;&gt;1,"材料阶段无效",IF(COUNTIF('要件与标签'!$D$23:$D$29,INDEX('任务登记'!$G$2:$G$201,MATCH(B68,'任务登记'!$A$2:$A$201,0)))&lt;&gt;1,"任务阶段无效",IF(MATCH(INDEX('材料'!$H$2:$H$201,MATCH(C68,'材料'!$A$2:$A$201,0)),'要件与标签'!$D$23:$D$29,0)&gt;MATCH(INDEX('任务登记'!$G$2:$G$201,MATCH(B68,'任务登记'!$A$2:$A$201,0)),'要件与标签'!$D$23:$D$29,0),"引用未来材料","字段齐备"))))))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10" t="str">
        <x:f>IF(COUNTA(A69:L69)=0,"",IF(OR(A69="",B69="",C69="",D69="",E69="",F69="",G69="",H69="",I69="",J69=""),"缺必填",IF(COUNTIF($A$2:$A$201,A69)&gt;1,"ID重复",IF(COUNTIF('任务登记'!$A$2:$A$201,B69)&lt;&gt;1,"任务ID无效",IF(COUNTIF('材料'!$A$2:$A$201,C69)&lt;&gt;1,"材料ID无效",IF(INDEX('材料'!$B$2:$B$201,MATCH(C69,'材料'!$A$2:$A$201,0))&lt;&gt;INDEX('任务登记'!$B$2:$B$201,MATCH(B69,'任务登记'!$A$2:$A$201,0)),"材料与任务跨案",IF(ISERROR(SEARCH(";"&amp;C69&amp;";",";"&amp;INDEX('任务登记'!$H$2:$H$201,MATCH(B69,'任务登记'!$A$2:$A$201,0))&amp;";")),"材料不在可见清单",IF(COUNTIF('要件与标签'!$D$23:$D$29,INDEX('材料'!$H$2:$H$201,MATCH(C69,'材料'!$A$2:$A$201,0)))&lt;&gt;1,"材料阶段无效",IF(COUNTIF('要件与标签'!$D$23:$D$29,INDEX('任务登记'!$G$2:$G$201,MATCH(B69,'任务登记'!$A$2:$A$201,0)))&lt;&gt;1,"任务阶段无效",IF(MATCH(INDEX('材料'!$H$2:$H$201,MATCH(C69,'材料'!$A$2:$A$201,0)),'要件与标签'!$D$23:$D$29,0)&gt;MATCH(INDEX('任务登记'!$G$2:$G$201,MATCH(B69,'任务登记'!$A$2:$A$201,0)),'要件与标签'!$D$23:$D$29,0),"引用未来材料","字段齐备"))))))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10" t="str">
        <x:f>IF(COUNTA(A70:L70)=0,"",IF(OR(A70="",B70="",C70="",D70="",E70="",F70="",G70="",H70="",I70="",J70=""),"缺必填",IF(COUNTIF($A$2:$A$201,A70)&gt;1,"ID重复",IF(COUNTIF('任务登记'!$A$2:$A$201,B70)&lt;&gt;1,"任务ID无效",IF(COUNTIF('材料'!$A$2:$A$201,C70)&lt;&gt;1,"材料ID无效",IF(INDEX('材料'!$B$2:$B$201,MATCH(C70,'材料'!$A$2:$A$201,0))&lt;&gt;INDEX('任务登记'!$B$2:$B$201,MATCH(B70,'任务登记'!$A$2:$A$201,0)),"材料与任务跨案",IF(ISERROR(SEARCH(";"&amp;C70&amp;";",";"&amp;INDEX('任务登记'!$H$2:$H$201,MATCH(B70,'任务登记'!$A$2:$A$201,0))&amp;";")),"材料不在可见清单",IF(COUNTIF('要件与标签'!$D$23:$D$29,INDEX('材料'!$H$2:$H$201,MATCH(C70,'材料'!$A$2:$A$201,0)))&lt;&gt;1,"材料阶段无效",IF(COUNTIF('要件与标签'!$D$23:$D$29,INDEX('任务登记'!$G$2:$G$201,MATCH(B70,'任务登记'!$A$2:$A$201,0)))&lt;&gt;1,"任务阶段无效",IF(MATCH(INDEX('材料'!$H$2:$H$201,MATCH(C70,'材料'!$A$2:$A$201,0)),'要件与标签'!$D$23:$D$29,0)&gt;MATCH(INDEX('任务登记'!$G$2:$G$201,MATCH(B70,'任务登记'!$A$2:$A$201,0)),'要件与标签'!$D$23:$D$29,0),"引用未来材料","字段齐备"))))))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10" t="str">
        <x:f>IF(COUNTA(A71:L71)=0,"",IF(OR(A71="",B71="",C71="",D71="",E71="",F71="",G71="",H71="",I71="",J71=""),"缺必填",IF(COUNTIF($A$2:$A$201,A71)&gt;1,"ID重复",IF(COUNTIF('任务登记'!$A$2:$A$201,B71)&lt;&gt;1,"任务ID无效",IF(COUNTIF('材料'!$A$2:$A$201,C71)&lt;&gt;1,"材料ID无效",IF(INDEX('材料'!$B$2:$B$201,MATCH(C71,'材料'!$A$2:$A$201,0))&lt;&gt;INDEX('任务登记'!$B$2:$B$201,MATCH(B71,'任务登记'!$A$2:$A$201,0)),"材料与任务跨案",IF(ISERROR(SEARCH(";"&amp;C71&amp;";",";"&amp;INDEX('任务登记'!$H$2:$H$201,MATCH(B71,'任务登记'!$A$2:$A$201,0))&amp;";")),"材料不在可见清单",IF(COUNTIF('要件与标签'!$D$23:$D$29,INDEX('材料'!$H$2:$H$201,MATCH(C71,'材料'!$A$2:$A$201,0)))&lt;&gt;1,"材料阶段无效",IF(COUNTIF('要件与标签'!$D$23:$D$29,INDEX('任务登记'!$G$2:$G$201,MATCH(B71,'任务登记'!$A$2:$A$201,0)))&lt;&gt;1,"任务阶段无效",IF(MATCH(INDEX('材料'!$H$2:$H$201,MATCH(C71,'材料'!$A$2:$A$201,0)),'要件与标签'!$D$23:$D$29,0)&gt;MATCH(INDEX('任务登记'!$G$2:$G$201,MATCH(B71,'任务登记'!$A$2:$A$201,0)),'要件与标签'!$D$23:$D$29,0),"引用未来材料","字段齐备"))))))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10" t="str">
        <x:f>IF(COUNTA(A72:L72)=0,"",IF(OR(A72="",B72="",C72="",D72="",E72="",F72="",G72="",H72="",I72="",J72=""),"缺必填",IF(COUNTIF($A$2:$A$201,A72)&gt;1,"ID重复",IF(COUNTIF('任务登记'!$A$2:$A$201,B72)&lt;&gt;1,"任务ID无效",IF(COUNTIF('材料'!$A$2:$A$201,C72)&lt;&gt;1,"材料ID无效",IF(INDEX('材料'!$B$2:$B$201,MATCH(C72,'材料'!$A$2:$A$201,0))&lt;&gt;INDEX('任务登记'!$B$2:$B$201,MATCH(B72,'任务登记'!$A$2:$A$201,0)),"材料与任务跨案",IF(ISERROR(SEARCH(";"&amp;C72&amp;";",";"&amp;INDEX('任务登记'!$H$2:$H$201,MATCH(B72,'任务登记'!$A$2:$A$201,0))&amp;";")),"材料不在可见清单",IF(COUNTIF('要件与标签'!$D$23:$D$29,INDEX('材料'!$H$2:$H$201,MATCH(C72,'材料'!$A$2:$A$201,0)))&lt;&gt;1,"材料阶段无效",IF(COUNTIF('要件与标签'!$D$23:$D$29,INDEX('任务登记'!$G$2:$G$201,MATCH(B72,'任务登记'!$A$2:$A$201,0)))&lt;&gt;1,"任务阶段无效",IF(MATCH(INDEX('材料'!$H$2:$H$201,MATCH(C72,'材料'!$A$2:$A$201,0)),'要件与标签'!$D$23:$D$29,0)&gt;MATCH(INDEX('任务登记'!$G$2:$G$201,MATCH(B72,'任务登记'!$A$2:$A$201,0)),'要件与标签'!$D$23:$D$29,0),"引用未来材料","字段齐备"))))))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10" t="str">
        <x:f>IF(COUNTA(A73:L73)=0,"",IF(OR(A73="",B73="",C73="",D73="",E73="",F73="",G73="",H73="",I73="",J73=""),"缺必填",IF(COUNTIF($A$2:$A$201,A73)&gt;1,"ID重复",IF(COUNTIF('任务登记'!$A$2:$A$201,B73)&lt;&gt;1,"任务ID无效",IF(COUNTIF('材料'!$A$2:$A$201,C73)&lt;&gt;1,"材料ID无效",IF(INDEX('材料'!$B$2:$B$201,MATCH(C73,'材料'!$A$2:$A$201,0))&lt;&gt;INDEX('任务登记'!$B$2:$B$201,MATCH(B73,'任务登记'!$A$2:$A$201,0)),"材料与任务跨案",IF(ISERROR(SEARCH(";"&amp;C73&amp;";",";"&amp;INDEX('任务登记'!$H$2:$H$201,MATCH(B73,'任务登记'!$A$2:$A$201,0))&amp;";")),"材料不在可见清单",IF(COUNTIF('要件与标签'!$D$23:$D$29,INDEX('材料'!$H$2:$H$201,MATCH(C73,'材料'!$A$2:$A$201,0)))&lt;&gt;1,"材料阶段无效",IF(COUNTIF('要件与标签'!$D$23:$D$29,INDEX('任务登记'!$G$2:$G$201,MATCH(B73,'任务登记'!$A$2:$A$201,0)))&lt;&gt;1,"任务阶段无效",IF(MATCH(INDEX('材料'!$H$2:$H$201,MATCH(C73,'材料'!$A$2:$A$201,0)),'要件与标签'!$D$23:$D$29,0)&gt;MATCH(INDEX('任务登记'!$G$2:$G$201,MATCH(B73,'任务登记'!$A$2:$A$201,0)),'要件与标签'!$D$23:$D$29,0),"引用未来材料","字段齐备"))))))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10" t="str">
        <x:f>IF(COUNTA(A74:L74)=0,"",IF(OR(A74="",B74="",C74="",D74="",E74="",F74="",G74="",H74="",I74="",J74=""),"缺必填",IF(COUNTIF($A$2:$A$201,A74)&gt;1,"ID重复",IF(COUNTIF('任务登记'!$A$2:$A$201,B74)&lt;&gt;1,"任务ID无效",IF(COUNTIF('材料'!$A$2:$A$201,C74)&lt;&gt;1,"材料ID无效",IF(INDEX('材料'!$B$2:$B$201,MATCH(C74,'材料'!$A$2:$A$201,0))&lt;&gt;INDEX('任务登记'!$B$2:$B$201,MATCH(B74,'任务登记'!$A$2:$A$201,0)),"材料与任务跨案",IF(ISERROR(SEARCH(";"&amp;C74&amp;";",";"&amp;INDEX('任务登记'!$H$2:$H$201,MATCH(B74,'任务登记'!$A$2:$A$201,0))&amp;";")),"材料不在可见清单",IF(COUNTIF('要件与标签'!$D$23:$D$29,INDEX('材料'!$H$2:$H$201,MATCH(C74,'材料'!$A$2:$A$201,0)))&lt;&gt;1,"材料阶段无效",IF(COUNTIF('要件与标签'!$D$23:$D$29,INDEX('任务登记'!$G$2:$G$201,MATCH(B74,'任务登记'!$A$2:$A$201,0)))&lt;&gt;1,"任务阶段无效",IF(MATCH(INDEX('材料'!$H$2:$H$201,MATCH(C74,'材料'!$A$2:$A$201,0)),'要件与标签'!$D$23:$D$29,0)&gt;MATCH(INDEX('任务登记'!$G$2:$G$201,MATCH(B74,'任务登记'!$A$2:$A$201,0)),'要件与标签'!$D$23:$D$29,0),"引用未来材料","字段齐备"))))))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10" t="str">
        <x:f>IF(COUNTA(A75:L75)=0,"",IF(OR(A75="",B75="",C75="",D75="",E75="",F75="",G75="",H75="",I75="",J75=""),"缺必填",IF(COUNTIF($A$2:$A$201,A75)&gt;1,"ID重复",IF(COUNTIF('任务登记'!$A$2:$A$201,B75)&lt;&gt;1,"任务ID无效",IF(COUNTIF('材料'!$A$2:$A$201,C75)&lt;&gt;1,"材料ID无效",IF(INDEX('材料'!$B$2:$B$201,MATCH(C75,'材料'!$A$2:$A$201,0))&lt;&gt;INDEX('任务登记'!$B$2:$B$201,MATCH(B75,'任务登记'!$A$2:$A$201,0)),"材料与任务跨案",IF(ISERROR(SEARCH(";"&amp;C75&amp;";",";"&amp;INDEX('任务登记'!$H$2:$H$201,MATCH(B75,'任务登记'!$A$2:$A$201,0))&amp;";")),"材料不在可见清单",IF(COUNTIF('要件与标签'!$D$23:$D$29,INDEX('材料'!$H$2:$H$201,MATCH(C75,'材料'!$A$2:$A$201,0)))&lt;&gt;1,"材料阶段无效",IF(COUNTIF('要件与标签'!$D$23:$D$29,INDEX('任务登记'!$G$2:$G$201,MATCH(B75,'任务登记'!$A$2:$A$201,0)))&lt;&gt;1,"任务阶段无效",IF(MATCH(INDEX('材料'!$H$2:$H$201,MATCH(C75,'材料'!$A$2:$A$201,0)),'要件与标签'!$D$23:$D$29,0)&gt;MATCH(INDEX('任务登记'!$G$2:$G$201,MATCH(B75,'任务登记'!$A$2:$A$201,0)),'要件与标签'!$D$23:$D$29,0),"引用未来材料","字段齐备"))))))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10" t="str">
        <x:f>IF(COUNTA(A76:L76)=0,"",IF(OR(A76="",B76="",C76="",D76="",E76="",F76="",G76="",H76="",I76="",J76=""),"缺必填",IF(COUNTIF($A$2:$A$201,A76)&gt;1,"ID重复",IF(COUNTIF('任务登记'!$A$2:$A$201,B76)&lt;&gt;1,"任务ID无效",IF(COUNTIF('材料'!$A$2:$A$201,C76)&lt;&gt;1,"材料ID无效",IF(INDEX('材料'!$B$2:$B$201,MATCH(C76,'材料'!$A$2:$A$201,0))&lt;&gt;INDEX('任务登记'!$B$2:$B$201,MATCH(B76,'任务登记'!$A$2:$A$201,0)),"材料与任务跨案",IF(ISERROR(SEARCH(";"&amp;C76&amp;";",";"&amp;INDEX('任务登记'!$H$2:$H$201,MATCH(B76,'任务登记'!$A$2:$A$201,0))&amp;";")),"材料不在可见清单",IF(COUNTIF('要件与标签'!$D$23:$D$29,INDEX('材料'!$H$2:$H$201,MATCH(C76,'材料'!$A$2:$A$201,0)))&lt;&gt;1,"材料阶段无效",IF(COUNTIF('要件与标签'!$D$23:$D$29,INDEX('任务登记'!$G$2:$G$201,MATCH(B76,'任务登记'!$A$2:$A$201,0)))&lt;&gt;1,"任务阶段无效",IF(MATCH(INDEX('材料'!$H$2:$H$201,MATCH(C76,'材料'!$A$2:$A$201,0)),'要件与标签'!$D$23:$D$29,0)&gt;MATCH(INDEX('任务登记'!$G$2:$G$201,MATCH(B76,'任务登记'!$A$2:$A$201,0)),'要件与标签'!$D$23:$D$29,0),"引用未来材料","字段齐备"))))))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10" t="str">
        <x:f>IF(COUNTA(A77:L77)=0,"",IF(OR(A77="",B77="",C77="",D77="",E77="",F77="",G77="",H77="",I77="",J77=""),"缺必填",IF(COUNTIF($A$2:$A$201,A77)&gt;1,"ID重复",IF(COUNTIF('任务登记'!$A$2:$A$201,B77)&lt;&gt;1,"任务ID无效",IF(COUNTIF('材料'!$A$2:$A$201,C77)&lt;&gt;1,"材料ID无效",IF(INDEX('材料'!$B$2:$B$201,MATCH(C77,'材料'!$A$2:$A$201,0))&lt;&gt;INDEX('任务登记'!$B$2:$B$201,MATCH(B77,'任务登记'!$A$2:$A$201,0)),"材料与任务跨案",IF(ISERROR(SEARCH(";"&amp;C77&amp;";",";"&amp;INDEX('任务登记'!$H$2:$H$201,MATCH(B77,'任务登记'!$A$2:$A$201,0))&amp;";")),"材料不在可见清单",IF(COUNTIF('要件与标签'!$D$23:$D$29,INDEX('材料'!$H$2:$H$201,MATCH(C77,'材料'!$A$2:$A$201,0)))&lt;&gt;1,"材料阶段无效",IF(COUNTIF('要件与标签'!$D$23:$D$29,INDEX('任务登记'!$G$2:$G$201,MATCH(B77,'任务登记'!$A$2:$A$201,0)))&lt;&gt;1,"任务阶段无效",IF(MATCH(INDEX('材料'!$H$2:$H$201,MATCH(C77,'材料'!$A$2:$A$201,0)),'要件与标签'!$D$23:$D$29,0)&gt;MATCH(INDEX('任务登记'!$G$2:$G$201,MATCH(B77,'任务登记'!$A$2:$A$201,0)),'要件与标签'!$D$23:$D$29,0),"引用未来材料","字段齐备"))))))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10" t="str">
        <x:f>IF(COUNTA(A78:L78)=0,"",IF(OR(A78="",B78="",C78="",D78="",E78="",F78="",G78="",H78="",I78="",J78=""),"缺必填",IF(COUNTIF($A$2:$A$201,A78)&gt;1,"ID重复",IF(COUNTIF('任务登记'!$A$2:$A$201,B78)&lt;&gt;1,"任务ID无效",IF(COUNTIF('材料'!$A$2:$A$201,C78)&lt;&gt;1,"材料ID无效",IF(INDEX('材料'!$B$2:$B$201,MATCH(C78,'材料'!$A$2:$A$201,0))&lt;&gt;INDEX('任务登记'!$B$2:$B$201,MATCH(B78,'任务登记'!$A$2:$A$201,0)),"材料与任务跨案",IF(ISERROR(SEARCH(";"&amp;C78&amp;";",";"&amp;INDEX('任务登记'!$H$2:$H$201,MATCH(B78,'任务登记'!$A$2:$A$201,0))&amp;";")),"材料不在可见清单",IF(COUNTIF('要件与标签'!$D$23:$D$29,INDEX('材料'!$H$2:$H$201,MATCH(C78,'材料'!$A$2:$A$201,0)))&lt;&gt;1,"材料阶段无效",IF(COUNTIF('要件与标签'!$D$23:$D$29,INDEX('任务登记'!$G$2:$G$201,MATCH(B78,'任务登记'!$A$2:$A$201,0)))&lt;&gt;1,"任务阶段无效",IF(MATCH(INDEX('材料'!$H$2:$H$201,MATCH(C78,'材料'!$A$2:$A$201,0)),'要件与标签'!$D$23:$D$29,0)&gt;MATCH(INDEX('任务登记'!$G$2:$G$201,MATCH(B78,'任务登记'!$A$2:$A$201,0)),'要件与标签'!$D$23:$D$29,0),"引用未来材料","字段齐备"))))))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10" t="str">
        <x:f>IF(COUNTA(A79:L79)=0,"",IF(OR(A79="",B79="",C79="",D79="",E79="",F79="",G79="",H79="",I79="",J79=""),"缺必填",IF(COUNTIF($A$2:$A$201,A79)&gt;1,"ID重复",IF(COUNTIF('任务登记'!$A$2:$A$201,B79)&lt;&gt;1,"任务ID无效",IF(COUNTIF('材料'!$A$2:$A$201,C79)&lt;&gt;1,"材料ID无效",IF(INDEX('材料'!$B$2:$B$201,MATCH(C79,'材料'!$A$2:$A$201,0))&lt;&gt;INDEX('任务登记'!$B$2:$B$201,MATCH(B79,'任务登记'!$A$2:$A$201,0)),"材料与任务跨案",IF(ISERROR(SEARCH(";"&amp;C79&amp;";",";"&amp;INDEX('任务登记'!$H$2:$H$201,MATCH(B79,'任务登记'!$A$2:$A$201,0))&amp;";")),"材料不在可见清单",IF(COUNTIF('要件与标签'!$D$23:$D$29,INDEX('材料'!$H$2:$H$201,MATCH(C79,'材料'!$A$2:$A$201,0)))&lt;&gt;1,"材料阶段无效",IF(COUNTIF('要件与标签'!$D$23:$D$29,INDEX('任务登记'!$G$2:$G$201,MATCH(B79,'任务登记'!$A$2:$A$201,0)))&lt;&gt;1,"任务阶段无效",IF(MATCH(INDEX('材料'!$H$2:$H$201,MATCH(C79,'材料'!$A$2:$A$201,0)),'要件与标签'!$D$23:$D$29,0)&gt;MATCH(INDEX('任务登记'!$G$2:$G$201,MATCH(B79,'任务登记'!$A$2:$A$201,0)),'要件与标签'!$D$23:$D$29,0),"引用未来材料","字段齐备"))))))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10" t="str">
        <x:f>IF(COUNTA(A80:L80)=0,"",IF(OR(A80="",B80="",C80="",D80="",E80="",F80="",G80="",H80="",I80="",J80=""),"缺必填",IF(COUNTIF($A$2:$A$201,A80)&gt;1,"ID重复",IF(COUNTIF('任务登记'!$A$2:$A$201,B80)&lt;&gt;1,"任务ID无效",IF(COUNTIF('材料'!$A$2:$A$201,C80)&lt;&gt;1,"材料ID无效",IF(INDEX('材料'!$B$2:$B$201,MATCH(C80,'材料'!$A$2:$A$201,0))&lt;&gt;INDEX('任务登记'!$B$2:$B$201,MATCH(B80,'任务登记'!$A$2:$A$201,0)),"材料与任务跨案",IF(ISERROR(SEARCH(";"&amp;C80&amp;";",";"&amp;INDEX('任务登记'!$H$2:$H$201,MATCH(B80,'任务登记'!$A$2:$A$201,0))&amp;";")),"材料不在可见清单",IF(COUNTIF('要件与标签'!$D$23:$D$29,INDEX('材料'!$H$2:$H$201,MATCH(C80,'材料'!$A$2:$A$201,0)))&lt;&gt;1,"材料阶段无效",IF(COUNTIF('要件与标签'!$D$23:$D$29,INDEX('任务登记'!$G$2:$G$201,MATCH(B80,'任务登记'!$A$2:$A$201,0)))&lt;&gt;1,"任务阶段无效",IF(MATCH(INDEX('材料'!$H$2:$H$201,MATCH(C80,'材料'!$A$2:$A$201,0)),'要件与标签'!$D$23:$D$29,0)&gt;MATCH(INDEX('任务登记'!$G$2:$G$201,MATCH(B80,'任务登记'!$A$2:$A$201,0)),'要件与标签'!$D$23:$D$29,0),"引用未来材料","字段齐备"))))))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10" t="str">
        <x:f>IF(COUNTA(A81:L81)=0,"",IF(OR(A81="",B81="",C81="",D81="",E81="",F81="",G81="",H81="",I81="",J81=""),"缺必填",IF(COUNTIF($A$2:$A$201,A81)&gt;1,"ID重复",IF(COUNTIF('任务登记'!$A$2:$A$201,B81)&lt;&gt;1,"任务ID无效",IF(COUNTIF('材料'!$A$2:$A$201,C81)&lt;&gt;1,"材料ID无效",IF(INDEX('材料'!$B$2:$B$201,MATCH(C81,'材料'!$A$2:$A$201,0))&lt;&gt;INDEX('任务登记'!$B$2:$B$201,MATCH(B81,'任务登记'!$A$2:$A$201,0)),"材料与任务跨案",IF(ISERROR(SEARCH(";"&amp;C81&amp;";",";"&amp;INDEX('任务登记'!$H$2:$H$201,MATCH(B81,'任务登记'!$A$2:$A$201,0))&amp;";")),"材料不在可见清单",IF(COUNTIF('要件与标签'!$D$23:$D$29,INDEX('材料'!$H$2:$H$201,MATCH(C81,'材料'!$A$2:$A$201,0)))&lt;&gt;1,"材料阶段无效",IF(COUNTIF('要件与标签'!$D$23:$D$29,INDEX('任务登记'!$G$2:$G$201,MATCH(B81,'任务登记'!$A$2:$A$201,0)))&lt;&gt;1,"任务阶段无效",IF(MATCH(INDEX('材料'!$H$2:$H$201,MATCH(C81,'材料'!$A$2:$A$201,0)),'要件与标签'!$D$23:$D$29,0)&gt;MATCH(INDEX('任务登记'!$G$2:$G$201,MATCH(B81,'任务登记'!$A$2:$A$201,0)),'要件与标签'!$D$23:$D$29,0),"引用未来材料","字段齐备"))))))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10" t="str">
        <x:f>IF(COUNTA(A82:L82)=0,"",IF(OR(A82="",B82="",C82="",D82="",E82="",F82="",G82="",H82="",I82="",J82=""),"缺必填",IF(COUNTIF($A$2:$A$201,A82)&gt;1,"ID重复",IF(COUNTIF('任务登记'!$A$2:$A$201,B82)&lt;&gt;1,"任务ID无效",IF(COUNTIF('材料'!$A$2:$A$201,C82)&lt;&gt;1,"材料ID无效",IF(INDEX('材料'!$B$2:$B$201,MATCH(C82,'材料'!$A$2:$A$201,0))&lt;&gt;INDEX('任务登记'!$B$2:$B$201,MATCH(B82,'任务登记'!$A$2:$A$201,0)),"材料与任务跨案",IF(ISERROR(SEARCH(";"&amp;C82&amp;";",";"&amp;INDEX('任务登记'!$H$2:$H$201,MATCH(B82,'任务登记'!$A$2:$A$201,0))&amp;";")),"材料不在可见清单",IF(COUNTIF('要件与标签'!$D$23:$D$29,INDEX('材料'!$H$2:$H$201,MATCH(C82,'材料'!$A$2:$A$201,0)))&lt;&gt;1,"材料阶段无效",IF(COUNTIF('要件与标签'!$D$23:$D$29,INDEX('任务登记'!$G$2:$G$201,MATCH(B82,'任务登记'!$A$2:$A$201,0)))&lt;&gt;1,"任务阶段无效",IF(MATCH(INDEX('材料'!$H$2:$H$201,MATCH(C82,'材料'!$A$2:$A$201,0)),'要件与标签'!$D$23:$D$29,0)&gt;MATCH(INDEX('任务登记'!$G$2:$G$201,MATCH(B82,'任务登记'!$A$2:$A$201,0)),'要件与标签'!$D$23:$D$29,0),"引用未来材料","字段齐备"))))))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10" t="str">
        <x:f>IF(COUNTA(A83:L83)=0,"",IF(OR(A83="",B83="",C83="",D83="",E83="",F83="",G83="",H83="",I83="",J83=""),"缺必填",IF(COUNTIF($A$2:$A$201,A83)&gt;1,"ID重复",IF(COUNTIF('任务登记'!$A$2:$A$201,B83)&lt;&gt;1,"任务ID无效",IF(COUNTIF('材料'!$A$2:$A$201,C83)&lt;&gt;1,"材料ID无效",IF(INDEX('材料'!$B$2:$B$201,MATCH(C83,'材料'!$A$2:$A$201,0))&lt;&gt;INDEX('任务登记'!$B$2:$B$201,MATCH(B83,'任务登记'!$A$2:$A$201,0)),"材料与任务跨案",IF(ISERROR(SEARCH(";"&amp;C83&amp;";",";"&amp;INDEX('任务登记'!$H$2:$H$201,MATCH(B83,'任务登记'!$A$2:$A$201,0))&amp;";")),"材料不在可见清单",IF(COUNTIF('要件与标签'!$D$23:$D$29,INDEX('材料'!$H$2:$H$201,MATCH(C83,'材料'!$A$2:$A$201,0)))&lt;&gt;1,"材料阶段无效",IF(COUNTIF('要件与标签'!$D$23:$D$29,INDEX('任务登记'!$G$2:$G$201,MATCH(B83,'任务登记'!$A$2:$A$201,0)))&lt;&gt;1,"任务阶段无效",IF(MATCH(INDEX('材料'!$H$2:$H$201,MATCH(C83,'材料'!$A$2:$A$201,0)),'要件与标签'!$D$23:$D$29,0)&gt;MATCH(INDEX('任务登记'!$G$2:$G$201,MATCH(B83,'任务登记'!$A$2:$A$201,0)),'要件与标签'!$D$23:$D$29,0),"引用未来材料","字段齐备"))))))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10" t="str">
        <x:f>IF(COUNTA(A84:L84)=0,"",IF(OR(A84="",B84="",C84="",D84="",E84="",F84="",G84="",H84="",I84="",J84=""),"缺必填",IF(COUNTIF($A$2:$A$201,A84)&gt;1,"ID重复",IF(COUNTIF('任务登记'!$A$2:$A$201,B84)&lt;&gt;1,"任务ID无效",IF(COUNTIF('材料'!$A$2:$A$201,C84)&lt;&gt;1,"材料ID无效",IF(INDEX('材料'!$B$2:$B$201,MATCH(C84,'材料'!$A$2:$A$201,0))&lt;&gt;INDEX('任务登记'!$B$2:$B$201,MATCH(B84,'任务登记'!$A$2:$A$201,0)),"材料与任务跨案",IF(ISERROR(SEARCH(";"&amp;C84&amp;";",";"&amp;INDEX('任务登记'!$H$2:$H$201,MATCH(B84,'任务登记'!$A$2:$A$201,0))&amp;";")),"材料不在可见清单",IF(COUNTIF('要件与标签'!$D$23:$D$29,INDEX('材料'!$H$2:$H$201,MATCH(C84,'材料'!$A$2:$A$201,0)))&lt;&gt;1,"材料阶段无效",IF(COUNTIF('要件与标签'!$D$23:$D$29,INDEX('任务登记'!$G$2:$G$201,MATCH(B84,'任务登记'!$A$2:$A$201,0)))&lt;&gt;1,"任务阶段无效",IF(MATCH(INDEX('材料'!$H$2:$H$201,MATCH(C84,'材料'!$A$2:$A$201,0)),'要件与标签'!$D$23:$D$29,0)&gt;MATCH(INDEX('任务登记'!$G$2:$G$201,MATCH(B84,'任务登记'!$A$2:$A$201,0)),'要件与标签'!$D$23:$D$29,0),"引用未来材料","字段齐备"))))))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10" t="str">
        <x:f>IF(COUNTA(A85:L85)=0,"",IF(OR(A85="",B85="",C85="",D85="",E85="",F85="",G85="",H85="",I85="",J85=""),"缺必填",IF(COUNTIF($A$2:$A$201,A85)&gt;1,"ID重复",IF(COUNTIF('任务登记'!$A$2:$A$201,B85)&lt;&gt;1,"任务ID无效",IF(COUNTIF('材料'!$A$2:$A$201,C85)&lt;&gt;1,"材料ID无效",IF(INDEX('材料'!$B$2:$B$201,MATCH(C85,'材料'!$A$2:$A$201,0))&lt;&gt;INDEX('任务登记'!$B$2:$B$201,MATCH(B85,'任务登记'!$A$2:$A$201,0)),"材料与任务跨案",IF(ISERROR(SEARCH(";"&amp;C85&amp;";",";"&amp;INDEX('任务登记'!$H$2:$H$201,MATCH(B85,'任务登记'!$A$2:$A$201,0))&amp;";")),"材料不在可见清单",IF(COUNTIF('要件与标签'!$D$23:$D$29,INDEX('材料'!$H$2:$H$201,MATCH(C85,'材料'!$A$2:$A$201,0)))&lt;&gt;1,"材料阶段无效",IF(COUNTIF('要件与标签'!$D$23:$D$29,INDEX('任务登记'!$G$2:$G$201,MATCH(B85,'任务登记'!$A$2:$A$201,0)))&lt;&gt;1,"任务阶段无效",IF(MATCH(INDEX('材料'!$H$2:$H$201,MATCH(C85,'材料'!$A$2:$A$201,0)),'要件与标签'!$D$23:$D$29,0)&gt;MATCH(INDEX('任务登记'!$G$2:$G$201,MATCH(B85,'任务登记'!$A$2:$A$201,0)),'要件与标签'!$D$23:$D$29,0),"引用未来材料","字段齐备"))))))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10" t="str">
        <x:f>IF(COUNTA(A86:L86)=0,"",IF(OR(A86="",B86="",C86="",D86="",E86="",F86="",G86="",H86="",I86="",J86=""),"缺必填",IF(COUNTIF($A$2:$A$201,A86)&gt;1,"ID重复",IF(COUNTIF('任务登记'!$A$2:$A$201,B86)&lt;&gt;1,"任务ID无效",IF(COUNTIF('材料'!$A$2:$A$201,C86)&lt;&gt;1,"材料ID无效",IF(INDEX('材料'!$B$2:$B$201,MATCH(C86,'材料'!$A$2:$A$201,0))&lt;&gt;INDEX('任务登记'!$B$2:$B$201,MATCH(B86,'任务登记'!$A$2:$A$201,0)),"材料与任务跨案",IF(ISERROR(SEARCH(";"&amp;C86&amp;";",";"&amp;INDEX('任务登记'!$H$2:$H$201,MATCH(B86,'任务登记'!$A$2:$A$201,0))&amp;";")),"材料不在可见清单",IF(COUNTIF('要件与标签'!$D$23:$D$29,INDEX('材料'!$H$2:$H$201,MATCH(C86,'材料'!$A$2:$A$201,0)))&lt;&gt;1,"材料阶段无效",IF(COUNTIF('要件与标签'!$D$23:$D$29,INDEX('任务登记'!$G$2:$G$201,MATCH(B86,'任务登记'!$A$2:$A$201,0)))&lt;&gt;1,"任务阶段无效",IF(MATCH(INDEX('材料'!$H$2:$H$201,MATCH(C86,'材料'!$A$2:$A$201,0)),'要件与标签'!$D$23:$D$29,0)&gt;MATCH(INDEX('任务登记'!$G$2:$G$201,MATCH(B86,'任务登记'!$A$2:$A$201,0)),'要件与标签'!$D$23:$D$29,0),"引用未来材料","字段齐备"))))))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10" t="str">
        <x:f>IF(COUNTA(A87:L87)=0,"",IF(OR(A87="",B87="",C87="",D87="",E87="",F87="",G87="",H87="",I87="",J87=""),"缺必填",IF(COUNTIF($A$2:$A$201,A87)&gt;1,"ID重复",IF(COUNTIF('任务登记'!$A$2:$A$201,B87)&lt;&gt;1,"任务ID无效",IF(COUNTIF('材料'!$A$2:$A$201,C87)&lt;&gt;1,"材料ID无效",IF(INDEX('材料'!$B$2:$B$201,MATCH(C87,'材料'!$A$2:$A$201,0))&lt;&gt;INDEX('任务登记'!$B$2:$B$201,MATCH(B87,'任务登记'!$A$2:$A$201,0)),"材料与任务跨案",IF(ISERROR(SEARCH(";"&amp;C87&amp;";",";"&amp;INDEX('任务登记'!$H$2:$H$201,MATCH(B87,'任务登记'!$A$2:$A$201,0))&amp;";")),"材料不在可见清单",IF(COUNTIF('要件与标签'!$D$23:$D$29,INDEX('材料'!$H$2:$H$201,MATCH(C87,'材料'!$A$2:$A$201,0)))&lt;&gt;1,"材料阶段无效",IF(COUNTIF('要件与标签'!$D$23:$D$29,INDEX('任务登记'!$G$2:$G$201,MATCH(B87,'任务登记'!$A$2:$A$201,0)))&lt;&gt;1,"任务阶段无效",IF(MATCH(INDEX('材料'!$H$2:$H$201,MATCH(C87,'材料'!$A$2:$A$201,0)),'要件与标签'!$D$23:$D$29,0)&gt;MATCH(INDEX('任务登记'!$G$2:$G$201,MATCH(B87,'任务登记'!$A$2:$A$201,0)),'要件与标签'!$D$23:$D$29,0),"引用未来材料","字段齐备"))))))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10" t="str">
        <x:f>IF(COUNTA(A88:L88)=0,"",IF(OR(A88="",B88="",C88="",D88="",E88="",F88="",G88="",H88="",I88="",J88=""),"缺必填",IF(COUNTIF($A$2:$A$201,A88)&gt;1,"ID重复",IF(COUNTIF('任务登记'!$A$2:$A$201,B88)&lt;&gt;1,"任务ID无效",IF(COUNTIF('材料'!$A$2:$A$201,C88)&lt;&gt;1,"材料ID无效",IF(INDEX('材料'!$B$2:$B$201,MATCH(C88,'材料'!$A$2:$A$201,0))&lt;&gt;INDEX('任务登记'!$B$2:$B$201,MATCH(B88,'任务登记'!$A$2:$A$201,0)),"材料与任务跨案",IF(ISERROR(SEARCH(";"&amp;C88&amp;";",";"&amp;INDEX('任务登记'!$H$2:$H$201,MATCH(B88,'任务登记'!$A$2:$A$201,0))&amp;";")),"材料不在可见清单",IF(COUNTIF('要件与标签'!$D$23:$D$29,INDEX('材料'!$H$2:$H$201,MATCH(C88,'材料'!$A$2:$A$201,0)))&lt;&gt;1,"材料阶段无效",IF(COUNTIF('要件与标签'!$D$23:$D$29,INDEX('任务登记'!$G$2:$G$201,MATCH(B88,'任务登记'!$A$2:$A$201,0)))&lt;&gt;1,"任务阶段无效",IF(MATCH(INDEX('材料'!$H$2:$H$201,MATCH(C88,'材料'!$A$2:$A$201,0)),'要件与标签'!$D$23:$D$29,0)&gt;MATCH(INDEX('任务登记'!$G$2:$G$201,MATCH(B88,'任务登记'!$A$2:$A$201,0)),'要件与标签'!$D$23:$D$29,0),"引用未来材料","字段齐备"))))))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10" t="str">
        <x:f>IF(COUNTA(A89:L89)=0,"",IF(OR(A89="",B89="",C89="",D89="",E89="",F89="",G89="",H89="",I89="",J89=""),"缺必填",IF(COUNTIF($A$2:$A$201,A89)&gt;1,"ID重复",IF(COUNTIF('任务登记'!$A$2:$A$201,B89)&lt;&gt;1,"任务ID无效",IF(COUNTIF('材料'!$A$2:$A$201,C89)&lt;&gt;1,"材料ID无效",IF(INDEX('材料'!$B$2:$B$201,MATCH(C89,'材料'!$A$2:$A$201,0))&lt;&gt;INDEX('任务登记'!$B$2:$B$201,MATCH(B89,'任务登记'!$A$2:$A$201,0)),"材料与任务跨案",IF(ISERROR(SEARCH(";"&amp;C89&amp;";",";"&amp;INDEX('任务登记'!$H$2:$H$201,MATCH(B89,'任务登记'!$A$2:$A$201,0))&amp;";")),"材料不在可见清单",IF(COUNTIF('要件与标签'!$D$23:$D$29,INDEX('材料'!$H$2:$H$201,MATCH(C89,'材料'!$A$2:$A$201,0)))&lt;&gt;1,"材料阶段无效",IF(COUNTIF('要件与标签'!$D$23:$D$29,INDEX('任务登记'!$G$2:$G$201,MATCH(B89,'任务登记'!$A$2:$A$201,0)))&lt;&gt;1,"任务阶段无效",IF(MATCH(INDEX('材料'!$H$2:$H$201,MATCH(C89,'材料'!$A$2:$A$201,0)),'要件与标签'!$D$23:$D$29,0)&gt;MATCH(INDEX('任务登记'!$G$2:$G$201,MATCH(B89,'任务登记'!$A$2:$A$201,0)),'要件与标签'!$D$23:$D$29,0),"引用未来材料","字段齐备"))))))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10" t="str">
        <x:f>IF(COUNTA(A90:L90)=0,"",IF(OR(A90="",B90="",C90="",D90="",E90="",F90="",G90="",H90="",I90="",J90=""),"缺必填",IF(COUNTIF($A$2:$A$201,A90)&gt;1,"ID重复",IF(COUNTIF('任务登记'!$A$2:$A$201,B90)&lt;&gt;1,"任务ID无效",IF(COUNTIF('材料'!$A$2:$A$201,C90)&lt;&gt;1,"材料ID无效",IF(INDEX('材料'!$B$2:$B$201,MATCH(C90,'材料'!$A$2:$A$201,0))&lt;&gt;INDEX('任务登记'!$B$2:$B$201,MATCH(B90,'任务登记'!$A$2:$A$201,0)),"材料与任务跨案",IF(ISERROR(SEARCH(";"&amp;C90&amp;";",";"&amp;INDEX('任务登记'!$H$2:$H$201,MATCH(B90,'任务登记'!$A$2:$A$201,0))&amp;";")),"材料不在可见清单",IF(COUNTIF('要件与标签'!$D$23:$D$29,INDEX('材料'!$H$2:$H$201,MATCH(C90,'材料'!$A$2:$A$201,0)))&lt;&gt;1,"材料阶段无效",IF(COUNTIF('要件与标签'!$D$23:$D$29,INDEX('任务登记'!$G$2:$G$201,MATCH(B90,'任务登记'!$A$2:$A$201,0)))&lt;&gt;1,"任务阶段无效",IF(MATCH(INDEX('材料'!$H$2:$H$201,MATCH(C90,'材料'!$A$2:$A$201,0)),'要件与标签'!$D$23:$D$29,0)&gt;MATCH(INDEX('任务登记'!$G$2:$G$201,MATCH(B90,'任务登记'!$A$2:$A$201,0)),'要件与标签'!$D$23:$D$29,0),"引用未来材料","字段齐备"))))))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10" t="str">
        <x:f>IF(COUNTA(A91:L91)=0,"",IF(OR(A91="",B91="",C91="",D91="",E91="",F91="",G91="",H91="",I91="",J91=""),"缺必填",IF(COUNTIF($A$2:$A$201,A91)&gt;1,"ID重复",IF(COUNTIF('任务登记'!$A$2:$A$201,B91)&lt;&gt;1,"任务ID无效",IF(COUNTIF('材料'!$A$2:$A$201,C91)&lt;&gt;1,"材料ID无效",IF(INDEX('材料'!$B$2:$B$201,MATCH(C91,'材料'!$A$2:$A$201,0))&lt;&gt;INDEX('任务登记'!$B$2:$B$201,MATCH(B91,'任务登记'!$A$2:$A$201,0)),"材料与任务跨案",IF(ISERROR(SEARCH(";"&amp;C91&amp;";",";"&amp;INDEX('任务登记'!$H$2:$H$201,MATCH(B91,'任务登记'!$A$2:$A$201,0))&amp;";")),"材料不在可见清单",IF(COUNTIF('要件与标签'!$D$23:$D$29,INDEX('材料'!$H$2:$H$201,MATCH(C91,'材料'!$A$2:$A$201,0)))&lt;&gt;1,"材料阶段无效",IF(COUNTIF('要件与标签'!$D$23:$D$29,INDEX('任务登记'!$G$2:$G$201,MATCH(B91,'任务登记'!$A$2:$A$201,0)))&lt;&gt;1,"任务阶段无效",IF(MATCH(INDEX('材料'!$H$2:$H$201,MATCH(C91,'材料'!$A$2:$A$201,0)),'要件与标签'!$D$23:$D$29,0)&gt;MATCH(INDEX('任务登记'!$G$2:$G$201,MATCH(B91,'任务登记'!$A$2:$A$201,0)),'要件与标签'!$D$23:$D$29,0),"引用未来材料","字段齐备"))))))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10" t="str">
        <x:f>IF(COUNTA(A92:L92)=0,"",IF(OR(A92="",B92="",C92="",D92="",E92="",F92="",G92="",H92="",I92="",J92=""),"缺必填",IF(COUNTIF($A$2:$A$201,A92)&gt;1,"ID重复",IF(COUNTIF('任务登记'!$A$2:$A$201,B92)&lt;&gt;1,"任务ID无效",IF(COUNTIF('材料'!$A$2:$A$201,C92)&lt;&gt;1,"材料ID无效",IF(INDEX('材料'!$B$2:$B$201,MATCH(C92,'材料'!$A$2:$A$201,0))&lt;&gt;INDEX('任务登记'!$B$2:$B$201,MATCH(B92,'任务登记'!$A$2:$A$201,0)),"材料与任务跨案",IF(ISERROR(SEARCH(";"&amp;C92&amp;";",";"&amp;INDEX('任务登记'!$H$2:$H$201,MATCH(B92,'任务登记'!$A$2:$A$201,0))&amp;";")),"材料不在可见清单",IF(COUNTIF('要件与标签'!$D$23:$D$29,INDEX('材料'!$H$2:$H$201,MATCH(C92,'材料'!$A$2:$A$201,0)))&lt;&gt;1,"材料阶段无效",IF(COUNTIF('要件与标签'!$D$23:$D$29,INDEX('任务登记'!$G$2:$G$201,MATCH(B92,'任务登记'!$A$2:$A$201,0)))&lt;&gt;1,"任务阶段无效",IF(MATCH(INDEX('材料'!$H$2:$H$201,MATCH(C92,'材料'!$A$2:$A$201,0)),'要件与标签'!$D$23:$D$29,0)&gt;MATCH(INDEX('任务登记'!$G$2:$G$201,MATCH(B92,'任务登记'!$A$2:$A$201,0)),'要件与标签'!$D$23:$D$29,0),"引用未来材料","字段齐备"))))))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10" t="str">
        <x:f>IF(COUNTA(A93:L93)=0,"",IF(OR(A93="",B93="",C93="",D93="",E93="",F93="",G93="",H93="",I93="",J93=""),"缺必填",IF(COUNTIF($A$2:$A$201,A93)&gt;1,"ID重复",IF(COUNTIF('任务登记'!$A$2:$A$201,B93)&lt;&gt;1,"任务ID无效",IF(COUNTIF('材料'!$A$2:$A$201,C93)&lt;&gt;1,"材料ID无效",IF(INDEX('材料'!$B$2:$B$201,MATCH(C93,'材料'!$A$2:$A$201,0))&lt;&gt;INDEX('任务登记'!$B$2:$B$201,MATCH(B93,'任务登记'!$A$2:$A$201,0)),"材料与任务跨案",IF(ISERROR(SEARCH(";"&amp;C93&amp;";",";"&amp;INDEX('任务登记'!$H$2:$H$201,MATCH(B93,'任务登记'!$A$2:$A$201,0))&amp;";")),"材料不在可见清单",IF(COUNTIF('要件与标签'!$D$23:$D$29,INDEX('材料'!$H$2:$H$201,MATCH(C93,'材料'!$A$2:$A$201,0)))&lt;&gt;1,"材料阶段无效",IF(COUNTIF('要件与标签'!$D$23:$D$29,INDEX('任务登记'!$G$2:$G$201,MATCH(B93,'任务登记'!$A$2:$A$201,0)))&lt;&gt;1,"任务阶段无效",IF(MATCH(INDEX('材料'!$H$2:$H$201,MATCH(C93,'材料'!$A$2:$A$201,0)),'要件与标签'!$D$23:$D$29,0)&gt;MATCH(INDEX('任务登记'!$G$2:$G$201,MATCH(B93,'任务登记'!$A$2:$A$201,0)),'要件与标签'!$D$23:$D$29,0),"引用未来材料","字段齐备"))))))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10" t="str">
        <x:f>IF(COUNTA(A94:L94)=0,"",IF(OR(A94="",B94="",C94="",D94="",E94="",F94="",G94="",H94="",I94="",J94=""),"缺必填",IF(COUNTIF($A$2:$A$201,A94)&gt;1,"ID重复",IF(COUNTIF('任务登记'!$A$2:$A$201,B94)&lt;&gt;1,"任务ID无效",IF(COUNTIF('材料'!$A$2:$A$201,C94)&lt;&gt;1,"材料ID无效",IF(INDEX('材料'!$B$2:$B$201,MATCH(C94,'材料'!$A$2:$A$201,0))&lt;&gt;INDEX('任务登记'!$B$2:$B$201,MATCH(B94,'任务登记'!$A$2:$A$201,0)),"材料与任务跨案",IF(ISERROR(SEARCH(";"&amp;C94&amp;";",";"&amp;INDEX('任务登记'!$H$2:$H$201,MATCH(B94,'任务登记'!$A$2:$A$201,0))&amp;";")),"材料不在可见清单",IF(COUNTIF('要件与标签'!$D$23:$D$29,INDEX('材料'!$H$2:$H$201,MATCH(C94,'材料'!$A$2:$A$201,0)))&lt;&gt;1,"材料阶段无效",IF(COUNTIF('要件与标签'!$D$23:$D$29,INDEX('任务登记'!$G$2:$G$201,MATCH(B94,'任务登记'!$A$2:$A$201,0)))&lt;&gt;1,"任务阶段无效",IF(MATCH(INDEX('材料'!$H$2:$H$201,MATCH(C94,'材料'!$A$2:$A$201,0)),'要件与标签'!$D$23:$D$29,0)&gt;MATCH(INDEX('任务登记'!$G$2:$G$201,MATCH(B94,'任务登记'!$A$2:$A$201,0)),'要件与标签'!$D$23:$D$29,0),"引用未来材料","字段齐备"))))))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10" t="str">
        <x:f>IF(COUNTA(A95:L95)=0,"",IF(OR(A95="",B95="",C95="",D95="",E95="",F95="",G95="",H95="",I95="",J95=""),"缺必填",IF(COUNTIF($A$2:$A$201,A95)&gt;1,"ID重复",IF(COUNTIF('任务登记'!$A$2:$A$201,B95)&lt;&gt;1,"任务ID无效",IF(COUNTIF('材料'!$A$2:$A$201,C95)&lt;&gt;1,"材料ID无效",IF(INDEX('材料'!$B$2:$B$201,MATCH(C95,'材料'!$A$2:$A$201,0))&lt;&gt;INDEX('任务登记'!$B$2:$B$201,MATCH(B95,'任务登记'!$A$2:$A$201,0)),"材料与任务跨案",IF(ISERROR(SEARCH(";"&amp;C95&amp;";",";"&amp;INDEX('任务登记'!$H$2:$H$201,MATCH(B95,'任务登记'!$A$2:$A$201,0))&amp;";")),"材料不在可见清单",IF(COUNTIF('要件与标签'!$D$23:$D$29,INDEX('材料'!$H$2:$H$201,MATCH(C95,'材料'!$A$2:$A$201,0)))&lt;&gt;1,"材料阶段无效",IF(COUNTIF('要件与标签'!$D$23:$D$29,INDEX('任务登记'!$G$2:$G$201,MATCH(B95,'任务登记'!$A$2:$A$201,0)))&lt;&gt;1,"任务阶段无效",IF(MATCH(INDEX('材料'!$H$2:$H$201,MATCH(C95,'材料'!$A$2:$A$201,0)),'要件与标签'!$D$23:$D$29,0)&gt;MATCH(INDEX('任务登记'!$G$2:$G$201,MATCH(B95,'任务登记'!$A$2:$A$201,0)),'要件与标签'!$D$23:$D$29,0),"引用未来材料","字段齐备"))))))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10" t="str">
        <x:f>IF(COUNTA(A96:L96)=0,"",IF(OR(A96="",B96="",C96="",D96="",E96="",F96="",G96="",H96="",I96="",J96=""),"缺必填",IF(COUNTIF($A$2:$A$201,A96)&gt;1,"ID重复",IF(COUNTIF('任务登记'!$A$2:$A$201,B96)&lt;&gt;1,"任务ID无效",IF(COUNTIF('材料'!$A$2:$A$201,C96)&lt;&gt;1,"材料ID无效",IF(INDEX('材料'!$B$2:$B$201,MATCH(C96,'材料'!$A$2:$A$201,0))&lt;&gt;INDEX('任务登记'!$B$2:$B$201,MATCH(B96,'任务登记'!$A$2:$A$201,0)),"材料与任务跨案",IF(ISERROR(SEARCH(";"&amp;C96&amp;";",";"&amp;INDEX('任务登记'!$H$2:$H$201,MATCH(B96,'任务登记'!$A$2:$A$201,0))&amp;";")),"材料不在可见清单",IF(COUNTIF('要件与标签'!$D$23:$D$29,INDEX('材料'!$H$2:$H$201,MATCH(C96,'材料'!$A$2:$A$201,0)))&lt;&gt;1,"材料阶段无效",IF(COUNTIF('要件与标签'!$D$23:$D$29,INDEX('任务登记'!$G$2:$G$201,MATCH(B96,'任务登记'!$A$2:$A$201,0)))&lt;&gt;1,"任务阶段无效",IF(MATCH(INDEX('材料'!$H$2:$H$201,MATCH(C96,'材料'!$A$2:$A$201,0)),'要件与标签'!$D$23:$D$29,0)&gt;MATCH(INDEX('任务登记'!$G$2:$G$201,MATCH(B96,'任务登记'!$A$2:$A$201,0)),'要件与标签'!$D$23:$D$29,0),"引用未来材料","字段齐备"))))))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10" t="str">
        <x:f>IF(COUNTA(A97:L97)=0,"",IF(OR(A97="",B97="",C97="",D97="",E97="",F97="",G97="",H97="",I97="",J97=""),"缺必填",IF(COUNTIF($A$2:$A$201,A97)&gt;1,"ID重复",IF(COUNTIF('任务登记'!$A$2:$A$201,B97)&lt;&gt;1,"任务ID无效",IF(COUNTIF('材料'!$A$2:$A$201,C97)&lt;&gt;1,"材料ID无效",IF(INDEX('材料'!$B$2:$B$201,MATCH(C97,'材料'!$A$2:$A$201,0))&lt;&gt;INDEX('任务登记'!$B$2:$B$201,MATCH(B97,'任务登记'!$A$2:$A$201,0)),"材料与任务跨案",IF(ISERROR(SEARCH(";"&amp;C97&amp;";",";"&amp;INDEX('任务登记'!$H$2:$H$201,MATCH(B97,'任务登记'!$A$2:$A$201,0))&amp;";")),"材料不在可见清单",IF(COUNTIF('要件与标签'!$D$23:$D$29,INDEX('材料'!$H$2:$H$201,MATCH(C97,'材料'!$A$2:$A$201,0)))&lt;&gt;1,"材料阶段无效",IF(COUNTIF('要件与标签'!$D$23:$D$29,INDEX('任务登记'!$G$2:$G$201,MATCH(B97,'任务登记'!$A$2:$A$201,0)))&lt;&gt;1,"任务阶段无效",IF(MATCH(INDEX('材料'!$H$2:$H$201,MATCH(C97,'材料'!$A$2:$A$201,0)),'要件与标签'!$D$23:$D$29,0)&gt;MATCH(INDEX('任务登记'!$G$2:$G$201,MATCH(B97,'任务登记'!$A$2:$A$201,0)),'要件与标签'!$D$23:$D$29,0),"引用未来材料","字段齐备"))))))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10" t="str">
        <x:f>IF(COUNTA(A98:L98)=0,"",IF(OR(A98="",B98="",C98="",D98="",E98="",F98="",G98="",H98="",I98="",J98=""),"缺必填",IF(COUNTIF($A$2:$A$201,A98)&gt;1,"ID重复",IF(COUNTIF('任务登记'!$A$2:$A$201,B98)&lt;&gt;1,"任务ID无效",IF(COUNTIF('材料'!$A$2:$A$201,C98)&lt;&gt;1,"材料ID无效",IF(INDEX('材料'!$B$2:$B$201,MATCH(C98,'材料'!$A$2:$A$201,0))&lt;&gt;INDEX('任务登记'!$B$2:$B$201,MATCH(B98,'任务登记'!$A$2:$A$201,0)),"材料与任务跨案",IF(ISERROR(SEARCH(";"&amp;C98&amp;";",";"&amp;INDEX('任务登记'!$H$2:$H$201,MATCH(B98,'任务登记'!$A$2:$A$201,0))&amp;";")),"材料不在可见清单",IF(COUNTIF('要件与标签'!$D$23:$D$29,INDEX('材料'!$H$2:$H$201,MATCH(C98,'材料'!$A$2:$A$201,0)))&lt;&gt;1,"材料阶段无效",IF(COUNTIF('要件与标签'!$D$23:$D$29,INDEX('任务登记'!$G$2:$G$201,MATCH(B98,'任务登记'!$A$2:$A$201,0)))&lt;&gt;1,"任务阶段无效",IF(MATCH(INDEX('材料'!$H$2:$H$201,MATCH(C98,'材料'!$A$2:$A$201,0)),'要件与标签'!$D$23:$D$29,0)&gt;MATCH(INDEX('任务登记'!$G$2:$G$201,MATCH(B98,'任务登记'!$A$2:$A$201,0)),'要件与标签'!$D$23:$D$29,0),"引用未来材料","字段齐备"))))))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10" t="str">
        <x:f>IF(COUNTA(A99:L99)=0,"",IF(OR(A99="",B99="",C99="",D99="",E99="",F99="",G99="",H99="",I99="",J99=""),"缺必填",IF(COUNTIF($A$2:$A$201,A99)&gt;1,"ID重复",IF(COUNTIF('任务登记'!$A$2:$A$201,B99)&lt;&gt;1,"任务ID无效",IF(COUNTIF('材料'!$A$2:$A$201,C99)&lt;&gt;1,"材料ID无效",IF(INDEX('材料'!$B$2:$B$201,MATCH(C99,'材料'!$A$2:$A$201,0))&lt;&gt;INDEX('任务登记'!$B$2:$B$201,MATCH(B99,'任务登记'!$A$2:$A$201,0)),"材料与任务跨案",IF(ISERROR(SEARCH(";"&amp;C99&amp;";",";"&amp;INDEX('任务登记'!$H$2:$H$201,MATCH(B99,'任务登记'!$A$2:$A$201,0))&amp;";")),"材料不在可见清单",IF(COUNTIF('要件与标签'!$D$23:$D$29,INDEX('材料'!$H$2:$H$201,MATCH(C99,'材料'!$A$2:$A$201,0)))&lt;&gt;1,"材料阶段无效",IF(COUNTIF('要件与标签'!$D$23:$D$29,INDEX('任务登记'!$G$2:$G$201,MATCH(B99,'任务登记'!$A$2:$A$201,0)))&lt;&gt;1,"任务阶段无效",IF(MATCH(INDEX('材料'!$H$2:$H$201,MATCH(C99,'材料'!$A$2:$A$201,0)),'要件与标签'!$D$23:$D$29,0)&gt;MATCH(INDEX('任务登记'!$G$2:$G$201,MATCH(B99,'任务登记'!$A$2:$A$201,0)),'要件与标签'!$D$23:$D$29,0),"引用未来材料","字段齐备"))))))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10" t="str">
        <x:f>IF(COUNTA(A100:L100)=0,"",IF(OR(A100="",B100="",C100="",D100="",E100="",F100="",G100="",H100="",I100="",J100=""),"缺必填",IF(COUNTIF($A$2:$A$201,A100)&gt;1,"ID重复",IF(COUNTIF('任务登记'!$A$2:$A$201,B100)&lt;&gt;1,"任务ID无效",IF(COUNTIF('材料'!$A$2:$A$201,C100)&lt;&gt;1,"材料ID无效",IF(INDEX('材料'!$B$2:$B$201,MATCH(C100,'材料'!$A$2:$A$201,0))&lt;&gt;INDEX('任务登记'!$B$2:$B$201,MATCH(B100,'任务登记'!$A$2:$A$201,0)),"材料与任务跨案",IF(ISERROR(SEARCH(";"&amp;C100&amp;";",";"&amp;INDEX('任务登记'!$H$2:$H$201,MATCH(B100,'任务登记'!$A$2:$A$201,0))&amp;";")),"材料不在可见清单",IF(COUNTIF('要件与标签'!$D$23:$D$29,INDEX('材料'!$H$2:$H$201,MATCH(C100,'材料'!$A$2:$A$201,0)))&lt;&gt;1,"材料阶段无效",IF(COUNTIF('要件与标签'!$D$23:$D$29,INDEX('任务登记'!$G$2:$G$201,MATCH(B100,'任务登记'!$A$2:$A$201,0)))&lt;&gt;1,"任务阶段无效",IF(MATCH(INDEX('材料'!$H$2:$H$201,MATCH(C100,'材料'!$A$2:$A$201,0)),'要件与标签'!$D$23:$D$29,0)&gt;MATCH(INDEX('任务登记'!$G$2:$G$201,MATCH(B100,'任务登记'!$A$2:$A$201,0)),'要件与标签'!$D$23:$D$29,0),"引用未来材料","字段齐备"))))))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10" t="str">
        <x:f>IF(COUNTA(A101:L101)=0,"",IF(OR(A101="",B101="",C101="",D101="",E101="",F101="",G101="",H101="",I101="",J101=""),"缺必填",IF(COUNTIF($A$2:$A$201,A101)&gt;1,"ID重复",IF(COUNTIF('任务登记'!$A$2:$A$201,B101)&lt;&gt;1,"任务ID无效",IF(COUNTIF('材料'!$A$2:$A$201,C101)&lt;&gt;1,"材料ID无效",IF(INDEX('材料'!$B$2:$B$201,MATCH(C101,'材料'!$A$2:$A$201,0))&lt;&gt;INDEX('任务登记'!$B$2:$B$201,MATCH(B101,'任务登记'!$A$2:$A$201,0)),"材料与任务跨案",IF(ISERROR(SEARCH(";"&amp;C101&amp;";",";"&amp;INDEX('任务登记'!$H$2:$H$201,MATCH(B101,'任务登记'!$A$2:$A$201,0))&amp;";")),"材料不在可见清单",IF(COUNTIF('要件与标签'!$D$23:$D$29,INDEX('材料'!$H$2:$H$201,MATCH(C101,'材料'!$A$2:$A$201,0)))&lt;&gt;1,"材料阶段无效",IF(COUNTIF('要件与标签'!$D$23:$D$29,INDEX('任务登记'!$G$2:$G$201,MATCH(B101,'任务登记'!$A$2:$A$201,0)))&lt;&gt;1,"任务阶段无效",IF(MATCH(INDEX('材料'!$H$2:$H$201,MATCH(C101,'材料'!$A$2:$A$201,0)),'要件与标签'!$D$23:$D$29,0)&gt;MATCH(INDEX('任务登记'!$G$2:$G$201,MATCH(B101,'任务登记'!$A$2:$A$201,0)),'要件与标签'!$D$23:$D$29,0),"引用未来材料","字段齐备"))))))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10" t="str">
        <x:f>IF(COUNTA(A102:L102)=0,"",IF(OR(A102="",B102="",C102="",D102="",E102="",F102="",G102="",H102="",I102="",J102=""),"缺必填",IF(COUNTIF($A$2:$A$201,A102)&gt;1,"ID重复",IF(COUNTIF('任务登记'!$A$2:$A$201,B102)&lt;&gt;1,"任务ID无效",IF(COUNTIF('材料'!$A$2:$A$201,C102)&lt;&gt;1,"材料ID无效",IF(INDEX('材料'!$B$2:$B$201,MATCH(C102,'材料'!$A$2:$A$201,0))&lt;&gt;INDEX('任务登记'!$B$2:$B$201,MATCH(B102,'任务登记'!$A$2:$A$201,0)),"材料与任务跨案",IF(ISERROR(SEARCH(";"&amp;C102&amp;";",";"&amp;INDEX('任务登记'!$H$2:$H$201,MATCH(B102,'任务登记'!$A$2:$A$201,0))&amp;";")),"材料不在可见清单",IF(COUNTIF('要件与标签'!$D$23:$D$29,INDEX('材料'!$H$2:$H$201,MATCH(C102,'材料'!$A$2:$A$201,0)))&lt;&gt;1,"材料阶段无效",IF(COUNTIF('要件与标签'!$D$23:$D$29,INDEX('任务登记'!$G$2:$G$201,MATCH(B102,'任务登记'!$A$2:$A$201,0)))&lt;&gt;1,"任务阶段无效",IF(MATCH(INDEX('材料'!$H$2:$H$201,MATCH(C102,'材料'!$A$2:$A$201,0)),'要件与标签'!$D$23:$D$29,0)&gt;MATCH(INDEX('任务登记'!$G$2:$G$201,MATCH(B102,'任务登记'!$A$2:$A$201,0)),'要件与标签'!$D$23:$D$29,0),"引用未来材料","字段齐备"))))))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10" t="str">
        <x:f>IF(COUNTA(A103:L103)=0,"",IF(OR(A103="",B103="",C103="",D103="",E103="",F103="",G103="",H103="",I103="",J103=""),"缺必填",IF(COUNTIF($A$2:$A$201,A103)&gt;1,"ID重复",IF(COUNTIF('任务登记'!$A$2:$A$201,B103)&lt;&gt;1,"任务ID无效",IF(COUNTIF('材料'!$A$2:$A$201,C103)&lt;&gt;1,"材料ID无效",IF(INDEX('材料'!$B$2:$B$201,MATCH(C103,'材料'!$A$2:$A$201,0))&lt;&gt;INDEX('任务登记'!$B$2:$B$201,MATCH(B103,'任务登记'!$A$2:$A$201,0)),"材料与任务跨案",IF(ISERROR(SEARCH(";"&amp;C103&amp;";",";"&amp;INDEX('任务登记'!$H$2:$H$201,MATCH(B103,'任务登记'!$A$2:$A$201,0))&amp;";")),"材料不在可见清单",IF(COUNTIF('要件与标签'!$D$23:$D$29,INDEX('材料'!$H$2:$H$201,MATCH(C103,'材料'!$A$2:$A$201,0)))&lt;&gt;1,"材料阶段无效",IF(COUNTIF('要件与标签'!$D$23:$D$29,INDEX('任务登记'!$G$2:$G$201,MATCH(B103,'任务登记'!$A$2:$A$201,0)))&lt;&gt;1,"任务阶段无效",IF(MATCH(INDEX('材料'!$H$2:$H$201,MATCH(C103,'材料'!$A$2:$A$201,0)),'要件与标签'!$D$23:$D$29,0)&gt;MATCH(INDEX('任务登记'!$G$2:$G$201,MATCH(B103,'任务登记'!$A$2:$A$201,0)),'要件与标签'!$D$23:$D$29,0),"引用未来材料","字段齐备"))))))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10" t="str">
        <x:f>IF(COUNTA(A104:L104)=0,"",IF(OR(A104="",B104="",C104="",D104="",E104="",F104="",G104="",H104="",I104="",J104=""),"缺必填",IF(COUNTIF($A$2:$A$201,A104)&gt;1,"ID重复",IF(COUNTIF('任务登记'!$A$2:$A$201,B104)&lt;&gt;1,"任务ID无效",IF(COUNTIF('材料'!$A$2:$A$201,C104)&lt;&gt;1,"材料ID无效",IF(INDEX('材料'!$B$2:$B$201,MATCH(C104,'材料'!$A$2:$A$201,0))&lt;&gt;INDEX('任务登记'!$B$2:$B$201,MATCH(B104,'任务登记'!$A$2:$A$201,0)),"材料与任务跨案",IF(ISERROR(SEARCH(";"&amp;C104&amp;";",";"&amp;INDEX('任务登记'!$H$2:$H$201,MATCH(B104,'任务登记'!$A$2:$A$201,0))&amp;";")),"材料不在可见清单",IF(COUNTIF('要件与标签'!$D$23:$D$29,INDEX('材料'!$H$2:$H$201,MATCH(C104,'材料'!$A$2:$A$201,0)))&lt;&gt;1,"材料阶段无效",IF(COUNTIF('要件与标签'!$D$23:$D$29,INDEX('任务登记'!$G$2:$G$201,MATCH(B104,'任务登记'!$A$2:$A$201,0)))&lt;&gt;1,"任务阶段无效",IF(MATCH(INDEX('材料'!$H$2:$H$201,MATCH(C104,'材料'!$A$2:$A$201,0)),'要件与标签'!$D$23:$D$29,0)&gt;MATCH(INDEX('任务登记'!$G$2:$G$201,MATCH(B104,'任务登记'!$A$2:$A$201,0)),'要件与标签'!$D$23:$D$29,0),"引用未来材料","字段齐备"))))))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10" t="str">
        <x:f>IF(COUNTA(A105:L105)=0,"",IF(OR(A105="",B105="",C105="",D105="",E105="",F105="",G105="",H105="",I105="",J105=""),"缺必填",IF(COUNTIF($A$2:$A$201,A105)&gt;1,"ID重复",IF(COUNTIF('任务登记'!$A$2:$A$201,B105)&lt;&gt;1,"任务ID无效",IF(COUNTIF('材料'!$A$2:$A$201,C105)&lt;&gt;1,"材料ID无效",IF(INDEX('材料'!$B$2:$B$201,MATCH(C105,'材料'!$A$2:$A$201,0))&lt;&gt;INDEX('任务登记'!$B$2:$B$201,MATCH(B105,'任务登记'!$A$2:$A$201,0)),"材料与任务跨案",IF(ISERROR(SEARCH(";"&amp;C105&amp;";",";"&amp;INDEX('任务登记'!$H$2:$H$201,MATCH(B105,'任务登记'!$A$2:$A$201,0))&amp;";")),"材料不在可见清单",IF(COUNTIF('要件与标签'!$D$23:$D$29,INDEX('材料'!$H$2:$H$201,MATCH(C105,'材料'!$A$2:$A$201,0)))&lt;&gt;1,"材料阶段无效",IF(COUNTIF('要件与标签'!$D$23:$D$29,INDEX('任务登记'!$G$2:$G$201,MATCH(B105,'任务登记'!$A$2:$A$201,0)))&lt;&gt;1,"任务阶段无效",IF(MATCH(INDEX('材料'!$H$2:$H$201,MATCH(C105,'材料'!$A$2:$A$201,0)),'要件与标签'!$D$23:$D$29,0)&gt;MATCH(INDEX('任务登记'!$G$2:$G$201,MATCH(B105,'任务登记'!$A$2:$A$201,0)),'要件与标签'!$D$23:$D$29,0),"引用未来材料","字段齐备"))))))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10" t="str">
        <x:f>IF(COUNTA(A106:L106)=0,"",IF(OR(A106="",B106="",C106="",D106="",E106="",F106="",G106="",H106="",I106="",J106=""),"缺必填",IF(COUNTIF($A$2:$A$201,A106)&gt;1,"ID重复",IF(COUNTIF('任务登记'!$A$2:$A$201,B106)&lt;&gt;1,"任务ID无效",IF(COUNTIF('材料'!$A$2:$A$201,C106)&lt;&gt;1,"材料ID无效",IF(INDEX('材料'!$B$2:$B$201,MATCH(C106,'材料'!$A$2:$A$201,0))&lt;&gt;INDEX('任务登记'!$B$2:$B$201,MATCH(B106,'任务登记'!$A$2:$A$201,0)),"材料与任务跨案",IF(ISERROR(SEARCH(";"&amp;C106&amp;";",";"&amp;INDEX('任务登记'!$H$2:$H$201,MATCH(B106,'任务登记'!$A$2:$A$201,0))&amp;";")),"材料不在可见清单",IF(COUNTIF('要件与标签'!$D$23:$D$29,INDEX('材料'!$H$2:$H$201,MATCH(C106,'材料'!$A$2:$A$201,0)))&lt;&gt;1,"材料阶段无效",IF(COUNTIF('要件与标签'!$D$23:$D$29,INDEX('任务登记'!$G$2:$G$201,MATCH(B106,'任务登记'!$A$2:$A$201,0)))&lt;&gt;1,"任务阶段无效",IF(MATCH(INDEX('材料'!$H$2:$H$201,MATCH(C106,'材料'!$A$2:$A$201,0)),'要件与标签'!$D$23:$D$29,0)&gt;MATCH(INDEX('任务登记'!$G$2:$G$201,MATCH(B106,'任务登记'!$A$2:$A$201,0)),'要件与标签'!$D$23:$D$29,0),"引用未来材料","字段齐备"))))))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10" t="str">
        <x:f>IF(COUNTA(A107:L107)=0,"",IF(OR(A107="",B107="",C107="",D107="",E107="",F107="",G107="",H107="",I107="",J107=""),"缺必填",IF(COUNTIF($A$2:$A$201,A107)&gt;1,"ID重复",IF(COUNTIF('任务登记'!$A$2:$A$201,B107)&lt;&gt;1,"任务ID无效",IF(COUNTIF('材料'!$A$2:$A$201,C107)&lt;&gt;1,"材料ID无效",IF(INDEX('材料'!$B$2:$B$201,MATCH(C107,'材料'!$A$2:$A$201,0))&lt;&gt;INDEX('任务登记'!$B$2:$B$201,MATCH(B107,'任务登记'!$A$2:$A$201,0)),"材料与任务跨案",IF(ISERROR(SEARCH(";"&amp;C107&amp;";",";"&amp;INDEX('任务登记'!$H$2:$H$201,MATCH(B107,'任务登记'!$A$2:$A$201,0))&amp;";")),"材料不在可见清单",IF(COUNTIF('要件与标签'!$D$23:$D$29,INDEX('材料'!$H$2:$H$201,MATCH(C107,'材料'!$A$2:$A$201,0)))&lt;&gt;1,"材料阶段无效",IF(COUNTIF('要件与标签'!$D$23:$D$29,INDEX('任务登记'!$G$2:$G$201,MATCH(B107,'任务登记'!$A$2:$A$201,0)))&lt;&gt;1,"任务阶段无效",IF(MATCH(INDEX('材料'!$H$2:$H$201,MATCH(C107,'材料'!$A$2:$A$201,0)),'要件与标签'!$D$23:$D$29,0)&gt;MATCH(INDEX('任务登记'!$G$2:$G$201,MATCH(B107,'任务登记'!$A$2:$A$201,0)),'要件与标签'!$D$23:$D$29,0),"引用未来材料","字段齐备"))))))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10" t="str">
        <x:f>IF(COUNTA(A108:L108)=0,"",IF(OR(A108="",B108="",C108="",D108="",E108="",F108="",G108="",H108="",I108="",J108=""),"缺必填",IF(COUNTIF($A$2:$A$201,A108)&gt;1,"ID重复",IF(COUNTIF('任务登记'!$A$2:$A$201,B108)&lt;&gt;1,"任务ID无效",IF(COUNTIF('材料'!$A$2:$A$201,C108)&lt;&gt;1,"材料ID无效",IF(INDEX('材料'!$B$2:$B$201,MATCH(C108,'材料'!$A$2:$A$201,0))&lt;&gt;INDEX('任务登记'!$B$2:$B$201,MATCH(B108,'任务登记'!$A$2:$A$201,0)),"材料与任务跨案",IF(ISERROR(SEARCH(";"&amp;C108&amp;";",";"&amp;INDEX('任务登记'!$H$2:$H$201,MATCH(B108,'任务登记'!$A$2:$A$201,0))&amp;";")),"材料不在可见清单",IF(COUNTIF('要件与标签'!$D$23:$D$29,INDEX('材料'!$H$2:$H$201,MATCH(C108,'材料'!$A$2:$A$201,0)))&lt;&gt;1,"材料阶段无效",IF(COUNTIF('要件与标签'!$D$23:$D$29,INDEX('任务登记'!$G$2:$G$201,MATCH(B108,'任务登记'!$A$2:$A$201,0)))&lt;&gt;1,"任务阶段无效",IF(MATCH(INDEX('材料'!$H$2:$H$201,MATCH(C108,'材料'!$A$2:$A$201,0)),'要件与标签'!$D$23:$D$29,0)&gt;MATCH(INDEX('任务登记'!$G$2:$G$201,MATCH(B108,'任务登记'!$A$2:$A$201,0)),'要件与标签'!$D$23:$D$29,0),"引用未来材料","字段齐备"))))))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10" t="str">
        <x:f>IF(COUNTA(A109:L109)=0,"",IF(OR(A109="",B109="",C109="",D109="",E109="",F109="",G109="",H109="",I109="",J109=""),"缺必填",IF(COUNTIF($A$2:$A$201,A109)&gt;1,"ID重复",IF(COUNTIF('任务登记'!$A$2:$A$201,B109)&lt;&gt;1,"任务ID无效",IF(COUNTIF('材料'!$A$2:$A$201,C109)&lt;&gt;1,"材料ID无效",IF(INDEX('材料'!$B$2:$B$201,MATCH(C109,'材料'!$A$2:$A$201,0))&lt;&gt;INDEX('任务登记'!$B$2:$B$201,MATCH(B109,'任务登记'!$A$2:$A$201,0)),"材料与任务跨案",IF(ISERROR(SEARCH(";"&amp;C109&amp;";",";"&amp;INDEX('任务登记'!$H$2:$H$201,MATCH(B109,'任务登记'!$A$2:$A$201,0))&amp;";")),"材料不在可见清单",IF(COUNTIF('要件与标签'!$D$23:$D$29,INDEX('材料'!$H$2:$H$201,MATCH(C109,'材料'!$A$2:$A$201,0)))&lt;&gt;1,"材料阶段无效",IF(COUNTIF('要件与标签'!$D$23:$D$29,INDEX('任务登记'!$G$2:$G$201,MATCH(B109,'任务登记'!$A$2:$A$201,0)))&lt;&gt;1,"任务阶段无效",IF(MATCH(INDEX('材料'!$H$2:$H$201,MATCH(C109,'材料'!$A$2:$A$201,0)),'要件与标签'!$D$23:$D$29,0)&gt;MATCH(INDEX('任务登记'!$G$2:$G$201,MATCH(B109,'任务登记'!$A$2:$A$201,0)),'要件与标签'!$D$23:$D$29,0),"引用未来材料","字段齐备"))))))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10" t="str">
        <x:f>IF(COUNTA(A110:L110)=0,"",IF(OR(A110="",B110="",C110="",D110="",E110="",F110="",G110="",H110="",I110="",J110=""),"缺必填",IF(COUNTIF($A$2:$A$201,A110)&gt;1,"ID重复",IF(COUNTIF('任务登记'!$A$2:$A$201,B110)&lt;&gt;1,"任务ID无效",IF(COUNTIF('材料'!$A$2:$A$201,C110)&lt;&gt;1,"材料ID无效",IF(INDEX('材料'!$B$2:$B$201,MATCH(C110,'材料'!$A$2:$A$201,0))&lt;&gt;INDEX('任务登记'!$B$2:$B$201,MATCH(B110,'任务登记'!$A$2:$A$201,0)),"材料与任务跨案",IF(ISERROR(SEARCH(";"&amp;C110&amp;";",";"&amp;INDEX('任务登记'!$H$2:$H$201,MATCH(B110,'任务登记'!$A$2:$A$201,0))&amp;";")),"材料不在可见清单",IF(COUNTIF('要件与标签'!$D$23:$D$29,INDEX('材料'!$H$2:$H$201,MATCH(C110,'材料'!$A$2:$A$201,0)))&lt;&gt;1,"材料阶段无效",IF(COUNTIF('要件与标签'!$D$23:$D$29,INDEX('任务登记'!$G$2:$G$201,MATCH(B110,'任务登记'!$A$2:$A$201,0)))&lt;&gt;1,"任务阶段无效",IF(MATCH(INDEX('材料'!$H$2:$H$201,MATCH(C110,'材料'!$A$2:$A$201,0)),'要件与标签'!$D$23:$D$29,0)&gt;MATCH(INDEX('任务登记'!$G$2:$G$201,MATCH(B110,'任务登记'!$A$2:$A$201,0)),'要件与标签'!$D$23:$D$29,0),"引用未来材料","字段齐备"))))))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10" t="str">
        <x:f>IF(COUNTA(A111:L111)=0,"",IF(OR(A111="",B111="",C111="",D111="",E111="",F111="",G111="",H111="",I111="",J111=""),"缺必填",IF(COUNTIF($A$2:$A$201,A111)&gt;1,"ID重复",IF(COUNTIF('任务登记'!$A$2:$A$201,B111)&lt;&gt;1,"任务ID无效",IF(COUNTIF('材料'!$A$2:$A$201,C111)&lt;&gt;1,"材料ID无效",IF(INDEX('材料'!$B$2:$B$201,MATCH(C111,'材料'!$A$2:$A$201,0))&lt;&gt;INDEX('任务登记'!$B$2:$B$201,MATCH(B111,'任务登记'!$A$2:$A$201,0)),"材料与任务跨案",IF(ISERROR(SEARCH(";"&amp;C111&amp;";",";"&amp;INDEX('任务登记'!$H$2:$H$201,MATCH(B111,'任务登记'!$A$2:$A$201,0))&amp;";")),"材料不在可见清单",IF(COUNTIF('要件与标签'!$D$23:$D$29,INDEX('材料'!$H$2:$H$201,MATCH(C111,'材料'!$A$2:$A$201,0)))&lt;&gt;1,"材料阶段无效",IF(COUNTIF('要件与标签'!$D$23:$D$29,INDEX('任务登记'!$G$2:$G$201,MATCH(B111,'任务登记'!$A$2:$A$201,0)))&lt;&gt;1,"任务阶段无效",IF(MATCH(INDEX('材料'!$H$2:$H$201,MATCH(C111,'材料'!$A$2:$A$201,0)),'要件与标签'!$D$23:$D$29,0)&gt;MATCH(INDEX('任务登记'!$G$2:$G$201,MATCH(B111,'任务登记'!$A$2:$A$201,0)),'要件与标签'!$D$23:$D$29,0),"引用未来材料","字段齐备"))))))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10" t="str">
        <x:f>IF(COUNTA(A112:L112)=0,"",IF(OR(A112="",B112="",C112="",D112="",E112="",F112="",G112="",H112="",I112="",J112=""),"缺必填",IF(COUNTIF($A$2:$A$201,A112)&gt;1,"ID重复",IF(COUNTIF('任务登记'!$A$2:$A$201,B112)&lt;&gt;1,"任务ID无效",IF(COUNTIF('材料'!$A$2:$A$201,C112)&lt;&gt;1,"材料ID无效",IF(INDEX('材料'!$B$2:$B$201,MATCH(C112,'材料'!$A$2:$A$201,0))&lt;&gt;INDEX('任务登记'!$B$2:$B$201,MATCH(B112,'任务登记'!$A$2:$A$201,0)),"材料与任务跨案",IF(ISERROR(SEARCH(";"&amp;C112&amp;";",";"&amp;INDEX('任务登记'!$H$2:$H$201,MATCH(B112,'任务登记'!$A$2:$A$201,0))&amp;";")),"材料不在可见清单",IF(COUNTIF('要件与标签'!$D$23:$D$29,INDEX('材料'!$H$2:$H$201,MATCH(C112,'材料'!$A$2:$A$201,0)))&lt;&gt;1,"材料阶段无效",IF(COUNTIF('要件与标签'!$D$23:$D$29,INDEX('任务登记'!$G$2:$G$201,MATCH(B112,'任务登记'!$A$2:$A$201,0)))&lt;&gt;1,"任务阶段无效",IF(MATCH(INDEX('材料'!$H$2:$H$201,MATCH(C112,'材料'!$A$2:$A$201,0)),'要件与标签'!$D$23:$D$29,0)&gt;MATCH(INDEX('任务登记'!$G$2:$G$201,MATCH(B112,'任务登记'!$A$2:$A$201,0)),'要件与标签'!$D$23:$D$29,0),"引用未来材料","字段齐备"))))))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10" t="str">
        <x:f>IF(COUNTA(A113:L113)=0,"",IF(OR(A113="",B113="",C113="",D113="",E113="",F113="",G113="",H113="",I113="",J113=""),"缺必填",IF(COUNTIF($A$2:$A$201,A113)&gt;1,"ID重复",IF(COUNTIF('任务登记'!$A$2:$A$201,B113)&lt;&gt;1,"任务ID无效",IF(COUNTIF('材料'!$A$2:$A$201,C113)&lt;&gt;1,"材料ID无效",IF(INDEX('材料'!$B$2:$B$201,MATCH(C113,'材料'!$A$2:$A$201,0))&lt;&gt;INDEX('任务登记'!$B$2:$B$201,MATCH(B113,'任务登记'!$A$2:$A$201,0)),"材料与任务跨案",IF(ISERROR(SEARCH(";"&amp;C113&amp;";",";"&amp;INDEX('任务登记'!$H$2:$H$201,MATCH(B113,'任务登记'!$A$2:$A$201,0))&amp;";")),"材料不在可见清单",IF(COUNTIF('要件与标签'!$D$23:$D$29,INDEX('材料'!$H$2:$H$201,MATCH(C113,'材料'!$A$2:$A$201,0)))&lt;&gt;1,"材料阶段无效",IF(COUNTIF('要件与标签'!$D$23:$D$29,INDEX('任务登记'!$G$2:$G$201,MATCH(B113,'任务登记'!$A$2:$A$201,0)))&lt;&gt;1,"任务阶段无效",IF(MATCH(INDEX('材料'!$H$2:$H$201,MATCH(C113,'材料'!$A$2:$A$201,0)),'要件与标签'!$D$23:$D$29,0)&gt;MATCH(INDEX('任务登记'!$G$2:$G$201,MATCH(B113,'任务登记'!$A$2:$A$201,0)),'要件与标签'!$D$23:$D$29,0),"引用未来材料","字段齐备"))))))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10" t="str">
        <x:f>IF(COUNTA(A114:L114)=0,"",IF(OR(A114="",B114="",C114="",D114="",E114="",F114="",G114="",H114="",I114="",J114=""),"缺必填",IF(COUNTIF($A$2:$A$201,A114)&gt;1,"ID重复",IF(COUNTIF('任务登记'!$A$2:$A$201,B114)&lt;&gt;1,"任务ID无效",IF(COUNTIF('材料'!$A$2:$A$201,C114)&lt;&gt;1,"材料ID无效",IF(INDEX('材料'!$B$2:$B$201,MATCH(C114,'材料'!$A$2:$A$201,0))&lt;&gt;INDEX('任务登记'!$B$2:$B$201,MATCH(B114,'任务登记'!$A$2:$A$201,0)),"材料与任务跨案",IF(ISERROR(SEARCH(";"&amp;C114&amp;";",";"&amp;INDEX('任务登记'!$H$2:$H$201,MATCH(B114,'任务登记'!$A$2:$A$201,0))&amp;";")),"材料不在可见清单",IF(COUNTIF('要件与标签'!$D$23:$D$29,INDEX('材料'!$H$2:$H$201,MATCH(C114,'材料'!$A$2:$A$201,0)))&lt;&gt;1,"材料阶段无效",IF(COUNTIF('要件与标签'!$D$23:$D$29,INDEX('任务登记'!$G$2:$G$201,MATCH(B114,'任务登记'!$A$2:$A$201,0)))&lt;&gt;1,"任务阶段无效",IF(MATCH(INDEX('材料'!$H$2:$H$201,MATCH(C114,'材料'!$A$2:$A$201,0)),'要件与标签'!$D$23:$D$29,0)&gt;MATCH(INDEX('任务登记'!$G$2:$G$201,MATCH(B114,'任务登记'!$A$2:$A$201,0)),'要件与标签'!$D$23:$D$29,0),"引用未来材料","字段齐备"))))))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10" t="str">
        <x:f>IF(COUNTA(A115:L115)=0,"",IF(OR(A115="",B115="",C115="",D115="",E115="",F115="",G115="",H115="",I115="",J115=""),"缺必填",IF(COUNTIF($A$2:$A$201,A115)&gt;1,"ID重复",IF(COUNTIF('任务登记'!$A$2:$A$201,B115)&lt;&gt;1,"任务ID无效",IF(COUNTIF('材料'!$A$2:$A$201,C115)&lt;&gt;1,"材料ID无效",IF(INDEX('材料'!$B$2:$B$201,MATCH(C115,'材料'!$A$2:$A$201,0))&lt;&gt;INDEX('任务登记'!$B$2:$B$201,MATCH(B115,'任务登记'!$A$2:$A$201,0)),"材料与任务跨案",IF(ISERROR(SEARCH(";"&amp;C115&amp;";",";"&amp;INDEX('任务登记'!$H$2:$H$201,MATCH(B115,'任务登记'!$A$2:$A$201,0))&amp;";")),"材料不在可见清单",IF(COUNTIF('要件与标签'!$D$23:$D$29,INDEX('材料'!$H$2:$H$201,MATCH(C115,'材料'!$A$2:$A$201,0)))&lt;&gt;1,"材料阶段无效",IF(COUNTIF('要件与标签'!$D$23:$D$29,INDEX('任务登记'!$G$2:$G$201,MATCH(B115,'任务登记'!$A$2:$A$201,0)))&lt;&gt;1,"任务阶段无效",IF(MATCH(INDEX('材料'!$H$2:$H$201,MATCH(C115,'材料'!$A$2:$A$201,0)),'要件与标签'!$D$23:$D$29,0)&gt;MATCH(INDEX('任务登记'!$G$2:$G$201,MATCH(B115,'任务登记'!$A$2:$A$201,0)),'要件与标签'!$D$23:$D$29,0),"引用未来材料","字段齐备"))))))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10" t="str">
        <x:f>IF(COUNTA(A116:L116)=0,"",IF(OR(A116="",B116="",C116="",D116="",E116="",F116="",G116="",H116="",I116="",J116=""),"缺必填",IF(COUNTIF($A$2:$A$201,A116)&gt;1,"ID重复",IF(COUNTIF('任务登记'!$A$2:$A$201,B116)&lt;&gt;1,"任务ID无效",IF(COUNTIF('材料'!$A$2:$A$201,C116)&lt;&gt;1,"材料ID无效",IF(INDEX('材料'!$B$2:$B$201,MATCH(C116,'材料'!$A$2:$A$201,0))&lt;&gt;INDEX('任务登记'!$B$2:$B$201,MATCH(B116,'任务登记'!$A$2:$A$201,0)),"材料与任务跨案",IF(ISERROR(SEARCH(";"&amp;C116&amp;";",";"&amp;INDEX('任务登记'!$H$2:$H$201,MATCH(B116,'任务登记'!$A$2:$A$201,0))&amp;";")),"材料不在可见清单",IF(COUNTIF('要件与标签'!$D$23:$D$29,INDEX('材料'!$H$2:$H$201,MATCH(C116,'材料'!$A$2:$A$201,0)))&lt;&gt;1,"材料阶段无效",IF(COUNTIF('要件与标签'!$D$23:$D$29,INDEX('任务登记'!$G$2:$G$201,MATCH(B116,'任务登记'!$A$2:$A$201,0)))&lt;&gt;1,"任务阶段无效",IF(MATCH(INDEX('材料'!$H$2:$H$201,MATCH(C116,'材料'!$A$2:$A$201,0)),'要件与标签'!$D$23:$D$29,0)&gt;MATCH(INDEX('任务登记'!$G$2:$G$201,MATCH(B116,'任务登记'!$A$2:$A$201,0)),'要件与标签'!$D$23:$D$29,0),"引用未来材料","字段齐备"))))))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10" t="str">
        <x:f>IF(COUNTA(A117:L117)=0,"",IF(OR(A117="",B117="",C117="",D117="",E117="",F117="",G117="",H117="",I117="",J117=""),"缺必填",IF(COUNTIF($A$2:$A$201,A117)&gt;1,"ID重复",IF(COUNTIF('任务登记'!$A$2:$A$201,B117)&lt;&gt;1,"任务ID无效",IF(COUNTIF('材料'!$A$2:$A$201,C117)&lt;&gt;1,"材料ID无效",IF(INDEX('材料'!$B$2:$B$201,MATCH(C117,'材料'!$A$2:$A$201,0))&lt;&gt;INDEX('任务登记'!$B$2:$B$201,MATCH(B117,'任务登记'!$A$2:$A$201,0)),"材料与任务跨案",IF(ISERROR(SEARCH(";"&amp;C117&amp;";",";"&amp;INDEX('任务登记'!$H$2:$H$201,MATCH(B117,'任务登记'!$A$2:$A$201,0))&amp;";")),"材料不在可见清单",IF(COUNTIF('要件与标签'!$D$23:$D$29,INDEX('材料'!$H$2:$H$201,MATCH(C117,'材料'!$A$2:$A$201,0)))&lt;&gt;1,"材料阶段无效",IF(COUNTIF('要件与标签'!$D$23:$D$29,INDEX('任务登记'!$G$2:$G$201,MATCH(B117,'任务登记'!$A$2:$A$201,0)))&lt;&gt;1,"任务阶段无效",IF(MATCH(INDEX('材料'!$H$2:$H$201,MATCH(C117,'材料'!$A$2:$A$201,0)),'要件与标签'!$D$23:$D$29,0)&gt;MATCH(INDEX('任务登记'!$G$2:$G$201,MATCH(B117,'任务登记'!$A$2:$A$201,0)),'要件与标签'!$D$23:$D$29,0),"引用未来材料","字段齐备"))))))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10" t="str">
        <x:f>IF(COUNTA(A118:L118)=0,"",IF(OR(A118="",B118="",C118="",D118="",E118="",F118="",G118="",H118="",I118="",J118=""),"缺必填",IF(COUNTIF($A$2:$A$201,A118)&gt;1,"ID重复",IF(COUNTIF('任务登记'!$A$2:$A$201,B118)&lt;&gt;1,"任务ID无效",IF(COUNTIF('材料'!$A$2:$A$201,C118)&lt;&gt;1,"材料ID无效",IF(INDEX('材料'!$B$2:$B$201,MATCH(C118,'材料'!$A$2:$A$201,0))&lt;&gt;INDEX('任务登记'!$B$2:$B$201,MATCH(B118,'任务登记'!$A$2:$A$201,0)),"材料与任务跨案",IF(ISERROR(SEARCH(";"&amp;C118&amp;";",";"&amp;INDEX('任务登记'!$H$2:$H$201,MATCH(B118,'任务登记'!$A$2:$A$201,0))&amp;";")),"材料不在可见清单",IF(COUNTIF('要件与标签'!$D$23:$D$29,INDEX('材料'!$H$2:$H$201,MATCH(C118,'材料'!$A$2:$A$201,0)))&lt;&gt;1,"材料阶段无效",IF(COUNTIF('要件与标签'!$D$23:$D$29,INDEX('任务登记'!$G$2:$G$201,MATCH(B118,'任务登记'!$A$2:$A$201,0)))&lt;&gt;1,"任务阶段无效",IF(MATCH(INDEX('材料'!$H$2:$H$201,MATCH(C118,'材料'!$A$2:$A$201,0)),'要件与标签'!$D$23:$D$29,0)&gt;MATCH(INDEX('任务登记'!$G$2:$G$201,MATCH(B118,'任务登记'!$A$2:$A$201,0)),'要件与标签'!$D$23:$D$29,0),"引用未来材料","字段齐备"))))))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10" t="str">
        <x:f>IF(COUNTA(A119:L119)=0,"",IF(OR(A119="",B119="",C119="",D119="",E119="",F119="",G119="",H119="",I119="",J119=""),"缺必填",IF(COUNTIF($A$2:$A$201,A119)&gt;1,"ID重复",IF(COUNTIF('任务登记'!$A$2:$A$201,B119)&lt;&gt;1,"任务ID无效",IF(COUNTIF('材料'!$A$2:$A$201,C119)&lt;&gt;1,"材料ID无效",IF(INDEX('材料'!$B$2:$B$201,MATCH(C119,'材料'!$A$2:$A$201,0))&lt;&gt;INDEX('任务登记'!$B$2:$B$201,MATCH(B119,'任务登记'!$A$2:$A$201,0)),"材料与任务跨案",IF(ISERROR(SEARCH(";"&amp;C119&amp;";",";"&amp;INDEX('任务登记'!$H$2:$H$201,MATCH(B119,'任务登记'!$A$2:$A$201,0))&amp;";")),"材料不在可见清单",IF(COUNTIF('要件与标签'!$D$23:$D$29,INDEX('材料'!$H$2:$H$201,MATCH(C119,'材料'!$A$2:$A$201,0)))&lt;&gt;1,"材料阶段无效",IF(COUNTIF('要件与标签'!$D$23:$D$29,INDEX('任务登记'!$G$2:$G$201,MATCH(B119,'任务登记'!$A$2:$A$201,0)))&lt;&gt;1,"任务阶段无效",IF(MATCH(INDEX('材料'!$H$2:$H$201,MATCH(C119,'材料'!$A$2:$A$201,0)),'要件与标签'!$D$23:$D$29,0)&gt;MATCH(INDEX('任务登记'!$G$2:$G$201,MATCH(B119,'任务登记'!$A$2:$A$201,0)),'要件与标签'!$D$23:$D$29,0),"引用未来材料","字段齐备"))))))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10" t="str">
        <x:f>IF(COUNTA(A120:L120)=0,"",IF(OR(A120="",B120="",C120="",D120="",E120="",F120="",G120="",H120="",I120="",J120=""),"缺必填",IF(COUNTIF($A$2:$A$201,A120)&gt;1,"ID重复",IF(COUNTIF('任务登记'!$A$2:$A$201,B120)&lt;&gt;1,"任务ID无效",IF(COUNTIF('材料'!$A$2:$A$201,C120)&lt;&gt;1,"材料ID无效",IF(INDEX('材料'!$B$2:$B$201,MATCH(C120,'材料'!$A$2:$A$201,0))&lt;&gt;INDEX('任务登记'!$B$2:$B$201,MATCH(B120,'任务登记'!$A$2:$A$201,0)),"材料与任务跨案",IF(ISERROR(SEARCH(";"&amp;C120&amp;";",";"&amp;INDEX('任务登记'!$H$2:$H$201,MATCH(B120,'任务登记'!$A$2:$A$201,0))&amp;";")),"材料不在可见清单",IF(COUNTIF('要件与标签'!$D$23:$D$29,INDEX('材料'!$H$2:$H$201,MATCH(C120,'材料'!$A$2:$A$201,0)))&lt;&gt;1,"材料阶段无效",IF(COUNTIF('要件与标签'!$D$23:$D$29,INDEX('任务登记'!$G$2:$G$201,MATCH(B120,'任务登记'!$A$2:$A$201,0)))&lt;&gt;1,"任务阶段无效",IF(MATCH(INDEX('材料'!$H$2:$H$201,MATCH(C120,'材料'!$A$2:$A$201,0)),'要件与标签'!$D$23:$D$29,0)&gt;MATCH(INDEX('任务登记'!$G$2:$G$201,MATCH(B120,'任务登记'!$A$2:$A$201,0)),'要件与标签'!$D$23:$D$29,0),"引用未来材料","字段齐备"))))))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10" t="str">
        <x:f>IF(COUNTA(A121:L121)=0,"",IF(OR(A121="",B121="",C121="",D121="",E121="",F121="",G121="",H121="",I121="",J121=""),"缺必填",IF(COUNTIF($A$2:$A$201,A121)&gt;1,"ID重复",IF(COUNTIF('任务登记'!$A$2:$A$201,B121)&lt;&gt;1,"任务ID无效",IF(COUNTIF('材料'!$A$2:$A$201,C121)&lt;&gt;1,"材料ID无效",IF(INDEX('材料'!$B$2:$B$201,MATCH(C121,'材料'!$A$2:$A$201,0))&lt;&gt;INDEX('任务登记'!$B$2:$B$201,MATCH(B121,'任务登记'!$A$2:$A$201,0)),"材料与任务跨案",IF(ISERROR(SEARCH(";"&amp;C121&amp;";",";"&amp;INDEX('任务登记'!$H$2:$H$201,MATCH(B121,'任务登记'!$A$2:$A$201,0))&amp;";")),"材料不在可见清单",IF(COUNTIF('要件与标签'!$D$23:$D$29,INDEX('材料'!$H$2:$H$201,MATCH(C121,'材料'!$A$2:$A$201,0)))&lt;&gt;1,"材料阶段无效",IF(COUNTIF('要件与标签'!$D$23:$D$29,INDEX('任务登记'!$G$2:$G$201,MATCH(B121,'任务登记'!$A$2:$A$201,0)))&lt;&gt;1,"任务阶段无效",IF(MATCH(INDEX('材料'!$H$2:$H$201,MATCH(C121,'材料'!$A$2:$A$201,0)),'要件与标签'!$D$23:$D$29,0)&gt;MATCH(INDEX('任务登记'!$G$2:$G$201,MATCH(B121,'任务登记'!$A$2:$A$201,0)),'要件与标签'!$D$23:$D$29,0),"引用未来材料","字段齐备"))))))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10" t="str">
        <x:f>IF(COUNTA(A122:L122)=0,"",IF(OR(A122="",B122="",C122="",D122="",E122="",F122="",G122="",H122="",I122="",J122=""),"缺必填",IF(COUNTIF($A$2:$A$201,A122)&gt;1,"ID重复",IF(COUNTIF('任务登记'!$A$2:$A$201,B122)&lt;&gt;1,"任务ID无效",IF(COUNTIF('材料'!$A$2:$A$201,C122)&lt;&gt;1,"材料ID无效",IF(INDEX('材料'!$B$2:$B$201,MATCH(C122,'材料'!$A$2:$A$201,0))&lt;&gt;INDEX('任务登记'!$B$2:$B$201,MATCH(B122,'任务登记'!$A$2:$A$201,0)),"材料与任务跨案",IF(ISERROR(SEARCH(";"&amp;C122&amp;";",";"&amp;INDEX('任务登记'!$H$2:$H$201,MATCH(B122,'任务登记'!$A$2:$A$201,0))&amp;";")),"材料不在可见清单",IF(COUNTIF('要件与标签'!$D$23:$D$29,INDEX('材料'!$H$2:$H$201,MATCH(C122,'材料'!$A$2:$A$201,0)))&lt;&gt;1,"材料阶段无效",IF(COUNTIF('要件与标签'!$D$23:$D$29,INDEX('任务登记'!$G$2:$G$201,MATCH(B122,'任务登记'!$A$2:$A$201,0)))&lt;&gt;1,"任务阶段无效",IF(MATCH(INDEX('材料'!$H$2:$H$201,MATCH(C122,'材料'!$A$2:$A$201,0)),'要件与标签'!$D$23:$D$29,0)&gt;MATCH(INDEX('任务登记'!$G$2:$G$201,MATCH(B122,'任务登记'!$A$2:$A$201,0)),'要件与标签'!$D$23:$D$29,0),"引用未来材料","字段齐备"))))))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10" t="str">
        <x:f>IF(COUNTA(A123:L123)=0,"",IF(OR(A123="",B123="",C123="",D123="",E123="",F123="",G123="",H123="",I123="",J123=""),"缺必填",IF(COUNTIF($A$2:$A$201,A123)&gt;1,"ID重复",IF(COUNTIF('任务登记'!$A$2:$A$201,B123)&lt;&gt;1,"任务ID无效",IF(COUNTIF('材料'!$A$2:$A$201,C123)&lt;&gt;1,"材料ID无效",IF(INDEX('材料'!$B$2:$B$201,MATCH(C123,'材料'!$A$2:$A$201,0))&lt;&gt;INDEX('任务登记'!$B$2:$B$201,MATCH(B123,'任务登记'!$A$2:$A$201,0)),"材料与任务跨案",IF(ISERROR(SEARCH(";"&amp;C123&amp;";",";"&amp;INDEX('任务登记'!$H$2:$H$201,MATCH(B123,'任务登记'!$A$2:$A$201,0))&amp;";")),"材料不在可见清单",IF(COUNTIF('要件与标签'!$D$23:$D$29,INDEX('材料'!$H$2:$H$201,MATCH(C123,'材料'!$A$2:$A$201,0)))&lt;&gt;1,"材料阶段无效",IF(COUNTIF('要件与标签'!$D$23:$D$29,INDEX('任务登记'!$G$2:$G$201,MATCH(B123,'任务登记'!$A$2:$A$201,0)))&lt;&gt;1,"任务阶段无效",IF(MATCH(INDEX('材料'!$H$2:$H$201,MATCH(C123,'材料'!$A$2:$A$201,0)),'要件与标签'!$D$23:$D$29,0)&gt;MATCH(INDEX('任务登记'!$G$2:$G$201,MATCH(B123,'任务登记'!$A$2:$A$201,0)),'要件与标签'!$D$23:$D$29,0),"引用未来材料","字段齐备"))))))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10" t="str">
        <x:f>IF(COUNTA(A124:L124)=0,"",IF(OR(A124="",B124="",C124="",D124="",E124="",F124="",G124="",H124="",I124="",J124=""),"缺必填",IF(COUNTIF($A$2:$A$201,A124)&gt;1,"ID重复",IF(COUNTIF('任务登记'!$A$2:$A$201,B124)&lt;&gt;1,"任务ID无效",IF(COUNTIF('材料'!$A$2:$A$201,C124)&lt;&gt;1,"材料ID无效",IF(INDEX('材料'!$B$2:$B$201,MATCH(C124,'材料'!$A$2:$A$201,0))&lt;&gt;INDEX('任务登记'!$B$2:$B$201,MATCH(B124,'任务登记'!$A$2:$A$201,0)),"材料与任务跨案",IF(ISERROR(SEARCH(";"&amp;C124&amp;";",";"&amp;INDEX('任务登记'!$H$2:$H$201,MATCH(B124,'任务登记'!$A$2:$A$201,0))&amp;";")),"材料不在可见清单",IF(COUNTIF('要件与标签'!$D$23:$D$29,INDEX('材料'!$H$2:$H$201,MATCH(C124,'材料'!$A$2:$A$201,0)))&lt;&gt;1,"材料阶段无效",IF(COUNTIF('要件与标签'!$D$23:$D$29,INDEX('任务登记'!$G$2:$G$201,MATCH(B124,'任务登记'!$A$2:$A$201,0)))&lt;&gt;1,"任务阶段无效",IF(MATCH(INDEX('材料'!$H$2:$H$201,MATCH(C124,'材料'!$A$2:$A$201,0)),'要件与标签'!$D$23:$D$29,0)&gt;MATCH(INDEX('任务登记'!$G$2:$G$201,MATCH(B124,'任务登记'!$A$2:$A$201,0)),'要件与标签'!$D$23:$D$29,0),"引用未来材料","字段齐备"))))))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10" t="str">
        <x:f>IF(COUNTA(A125:L125)=0,"",IF(OR(A125="",B125="",C125="",D125="",E125="",F125="",G125="",H125="",I125="",J125=""),"缺必填",IF(COUNTIF($A$2:$A$201,A125)&gt;1,"ID重复",IF(COUNTIF('任务登记'!$A$2:$A$201,B125)&lt;&gt;1,"任务ID无效",IF(COUNTIF('材料'!$A$2:$A$201,C125)&lt;&gt;1,"材料ID无效",IF(INDEX('材料'!$B$2:$B$201,MATCH(C125,'材料'!$A$2:$A$201,0))&lt;&gt;INDEX('任务登记'!$B$2:$B$201,MATCH(B125,'任务登记'!$A$2:$A$201,0)),"材料与任务跨案",IF(ISERROR(SEARCH(";"&amp;C125&amp;";",";"&amp;INDEX('任务登记'!$H$2:$H$201,MATCH(B125,'任务登记'!$A$2:$A$201,0))&amp;";")),"材料不在可见清单",IF(COUNTIF('要件与标签'!$D$23:$D$29,INDEX('材料'!$H$2:$H$201,MATCH(C125,'材料'!$A$2:$A$201,0)))&lt;&gt;1,"材料阶段无效",IF(COUNTIF('要件与标签'!$D$23:$D$29,INDEX('任务登记'!$G$2:$G$201,MATCH(B125,'任务登记'!$A$2:$A$201,0)))&lt;&gt;1,"任务阶段无效",IF(MATCH(INDEX('材料'!$H$2:$H$201,MATCH(C125,'材料'!$A$2:$A$201,0)),'要件与标签'!$D$23:$D$29,0)&gt;MATCH(INDEX('任务登记'!$G$2:$G$201,MATCH(B125,'任务登记'!$A$2:$A$201,0)),'要件与标签'!$D$23:$D$29,0),"引用未来材料","字段齐备"))))))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10" t="str">
        <x:f>IF(COUNTA(A126:L126)=0,"",IF(OR(A126="",B126="",C126="",D126="",E126="",F126="",G126="",H126="",I126="",J126=""),"缺必填",IF(COUNTIF($A$2:$A$201,A126)&gt;1,"ID重复",IF(COUNTIF('任务登记'!$A$2:$A$201,B126)&lt;&gt;1,"任务ID无效",IF(COUNTIF('材料'!$A$2:$A$201,C126)&lt;&gt;1,"材料ID无效",IF(INDEX('材料'!$B$2:$B$201,MATCH(C126,'材料'!$A$2:$A$201,0))&lt;&gt;INDEX('任务登记'!$B$2:$B$201,MATCH(B126,'任务登记'!$A$2:$A$201,0)),"材料与任务跨案",IF(ISERROR(SEARCH(";"&amp;C126&amp;";",";"&amp;INDEX('任务登记'!$H$2:$H$201,MATCH(B126,'任务登记'!$A$2:$A$201,0))&amp;";")),"材料不在可见清单",IF(COUNTIF('要件与标签'!$D$23:$D$29,INDEX('材料'!$H$2:$H$201,MATCH(C126,'材料'!$A$2:$A$201,0)))&lt;&gt;1,"材料阶段无效",IF(COUNTIF('要件与标签'!$D$23:$D$29,INDEX('任务登记'!$G$2:$G$201,MATCH(B126,'任务登记'!$A$2:$A$201,0)))&lt;&gt;1,"任务阶段无效",IF(MATCH(INDEX('材料'!$H$2:$H$201,MATCH(C126,'材料'!$A$2:$A$201,0)),'要件与标签'!$D$23:$D$29,0)&gt;MATCH(INDEX('任务登记'!$G$2:$G$201,MATCH(B126,'任务登记'!$A$2:$A$201,0)),'要件与标签'!$D$23:$D$29,0),"引用未来材料","字段齐备"))))))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10" t="str">
        <x:f>IF(COUNTA(A127:L127)=0,"",IF(OR(A127="",B127="",C127="",D127="",E127="",F127="",G127="",H127="",I127="",J127=""),"缺必填",IF(COUNTIF($A$2:$A$201,A127)&gt;1,"ID重复",IF(COUNTIF('任务登记'!$A$2:$A$201,B127)&lt;&gt;1,"任务ID无效",IF(COUNTIF('材料'!$A$2:$A$201,C127)&lt;&gt;1,"材料ID无效",IF(INDEX('材料'!$B$2:$B$201,MATCH(C127,'材料'!$A$2:$A$201,0))&lt;&gt;INDEX('任务登记'!$B$2:$B$201,MATCH(B127,'任务登记'!$A$2:$A$201,0)),"材料与任务跨案",IF(ISERROR(SEARCH(";"&amp;C127&amp;";",";"&amp;INDEX('任务登记'!$H$2:$H$201,MATCH(B127,'任务登记'!$A$2:$A$201,0))&amp;";")),"材料不在可见清单",IF(COUNTIF('要件与标签'!$D$23:$D$29,INDEX('材料'!$H$2:$H$201,MATCH(C127,'材料'!$A$2:$A$201,0)))&lt;&gt;1,"材料阶段无效",IF(COUNTIF('要件与标签'!$D$23:$D$29,INDEX('任务登记'!$G$2:$G$201,MATCH(B127,'任务登记'!$A$2:$A$201,0)))&lt;&gt;1,"任务阶段无效",IF(MATCH(INDEX('材料'!$H$2:$H$201,MATCH(C127,'材料'!$A$2:$A$201,0)),'要件与标签'!$D$23:$D$29,0)&gt;MATCH(INDEX('任务登记'!$G$2:$G$201,MATCH(B127,'任务登记'!$A$2:$A$201,0)),'要件与标签'!$D$23:$D$29,0),"引用未来材料","字段齐备"))))))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10" t="str">
        <x:f>IF(COUNTA(A128:L128)=0,"",IF(OR(A128="",B128="",C128="",D128="",E128="",F128="",G128="",H128="",I128="",J128=""),"缺必填",IF(COUNTIF($A$2:$A$201,A128)&gt;1,"ID重复",IF(COUNTIF('任务登记'!$A$2:$A$201,B128)&lt;&gt;1,"任务ID无效",IF(COUNTIF('材料'!$A$2:$A$201,C128)&lt;&gt;1,"材料ID无效",IF(INDEX('材料'!$B$2:$B$201,MATCH(C128,'材料'!$A$2:$A$201,0))&lt;&gt;INDEX('任务登记'!$B$2:$B$201,MATCH(B128,'任务登记'!$A$2:$A$201,0)),"材料与任务跨案",IF(ISERROR(SEARCH(";"&amp;C128&amp;";",";"&amp;INDEX('任务登记'!$H$2:$H$201,MATCH(B128,'任务登记'!$A$2:$A$201,0))&amp;";")),"材料不在可见清单",IF(COUNTIF('要件与标签'!$D$23:$D$29,INDEX('材料'!$H$2:$H$201,MATCH(C128,'材料'!$A$2:$A$201,0)))&lt;&gt;1,"材料阶段无效",IF(COUNTIF('要件与标签'!$D$23:$D$29,INDEX('任务登记'!$G$2:$G$201,MATCH(B128,'任务登记'!$A$2:$A$201,0)))&lt;&gt;1,"任务阶段无效",IF(MATCH(INDEX('材料'!$H$2:$H$201,MATCH(C128,'材料'!$A$2:$A$201,0)),'要件与标签'!$D$23:$D$29,0)&gt;MATCH(INDEX('任务登记'!$G$2:$G$201,MATCH(B128,'任务登记'!$A$2:$A$201,0)),'要件与标签'!$D$23:$D$29,0),"引用未来材料","字段齐备"))))))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10" t="str">
        <x:f>IF(COUNTA(A129:L129)=0,"",IF(OR(A129="",B129="",C129="",D129="",E129="",F129="",G129="",H129="",I129="",J129=""),"缺必填",IF(COUNTIF($A$2:$A$201,A129)&gt;1,"ID重复",IF(COUNTIF('任务登记'!$A$2:$A$201,B129)&lt;&gt;1,"任务ID无效",IF(COUNTIF('材料'!$A$2:$A$201,C129)&lt;&gt;1,"材料ID无效",IF(INDEX('材料'!$B$2:$B$201,MATCH(C129,'材料'!$A$2:$A$201,0))&lt;&gt;INDEX('任务登记'!$B$2:$B$201,MATCH(B129,'任务登记'!$A$2:$A$201,0)),"材料与任务跨案",IF(ISERROR(SEARCH(";"&amp;C129&amp;";",";"&amp;INDEX('任务登记'!$H$2:$H$201,MATCH(B129,'任务登记'!$A$2:$A$201,0))&amp;";")),"材料不在可见清单",IF(COUNTIF('要件与标签'!$D$23:$D$29,INDEX('材料'!$H$2:$H$201,MATCH(C129,'材料'!$A$2:$A$201,0)))&lt;&gt;1,"材料阶段无效",IF(COUNTIF('要件与标签'!$D$23:$D$29,INDEX('任务登记'!$G$2:$G$201,MATCH(B129,'任务登记'!$A$2:$A$201,0)))&lt;&gt;1,"任务阶段无效",IF(MATCH(INDEX('材料'!$H$2:$H$201,MATCH(C129,'材料'!$A$2:$A$201,0)),'要件与标签'!$D$23:$D$29,0)&gt;MATCH(INDEX('任务登记'!$G$2:$G$201,MATCH(B129,'任务登记'!$A$2:$A$201,0)),'要件与标签'!$D$23:$D$29,0),"引用未来材料","字段齐备"))))))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10" t="str">
        <x:f>IF(COUNTA(A130:L130)=0,"",IF(OR(A130="",B130="",C130="",D130="",E130="",F130="",G130="",H130="",I130="",J130=""),"缺必填",IF(COUNTIF($A$2:$A$201,A130)&gt;1,"ID重复",IF(COUNTIF('任务登记'!$A$2:$A$201,B130)&lt;&gt;1,"任务ID无效",IF(COUNTIF('材料'!$A$2:$A$201,C130)&lt;&gt;1,"材料ID无效",IF(INDEX('材料'!$B$2:$B$201,MATCH(C130,'材料'!$A$2:$A$201,0))&lt;&gt;INDEX('任务登记'!$B$2:$B$201,MATCH(B130,'任务登记'!$A$2:$A$201,0)),"材料与任务跨案",IF(ISERROR(SEARCH(";"&amp;C130&amp;";",";"&amp;INDEX('任务登记'!$H$2:$H$201,MATCH(B130,'任务登记'!$A$2:$A$201,0))&amp;";")),"材料不在可见清单",IF(COUNTIF('要件与标签'!$D$23:$D$29,INDEX('材料'!$H$2:$H$201,MATCH(C130,'材料'!$A$2:$A$201,0)))&lt;&gt;1,"材料阶段无效",IF(COUNTIF('要件与标签'!$D$23:$D$29,INDEX('任务登记'!$G$2:$G$201,MATCH(B130,'任务登记'!$A$2:$A$201,0)))&lt;&gt;1,"任务阶段无效",IF(MATCH(INDEX('材料'!$H$2:$H$201,MATCH(C130,'材料'!$A$2:$A$201,0)),'要件与标签'!$D$23:$D$29,0)&gt;MATCH(INDEX('任务登记'!$G$2:$G$201,MATCH(B130,'任务登记'!$A$2:$A$201,0)),'要件与标签'!$D$23:$D$29,0),"引用未来材料","字段齐备"))))))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10" t="str">
        <x:f>IF(COUNTA(A131:L131)=0,"",IF(OR(A131="",B131="",C131="",D131="",E131="",F131="",G131="",H131="",I131="",J131=""),"缺必填",IF(COUNTIF($A$2:$A$201,A131)&gt;1,"ID重复",IF(COUNTIF('任务登记'!$A$2:$A$201,B131)&lt;&gt;1,"任务ID无效",IF(COUNTIF('材料'!$A$2:$A$201,C131)&lt;&gt;1,"材料ID无效",IF(INDEX('材料'!$B$2:$B$201,MATCH(C131,'材料'!$A$2:$A$201,0))&lt;&gt;INDEX('任务登记'!$B$2:$B$201,MATCH(B131,'任务登记'!$A$2:$A$201,0)),"材料与任务跨案",IF(ISERROR(SEARCH(";"&amp;C131&amp;";",";"&amp;INDEX('任务登记'!$H$2:$H$201,MATCH(B131,'任务登记'!$A$2:$A$201,0))&amp;";")),"材料不在可见清单",IF(COUNTIF('要件与标签'!$D$23:$D$29,INDEX('材料'!$H$2:$H$201,MATCH(C131,'材料'!$A$2:$A$201,0)))&lt;&gt;1,"材料阶段无效",IF(COUNTIF('要件与标签'!$D$23:$D$29,INDEX('任务登记'!$G$2:$G$201,MATCH(B131,'任务登记'!$A$2:$A$201,0)))&lt;&gt;1,"任务阶段无效",IF(MATCH(INDEX('材料'!$H$2:$H$201,MATCH(C131,'材料'!$A$2:$A$201,0)),'要件与标签'!$D$23:$D$29,0)&gt;MATCH(INDEX('任务登记'!$G$2:$G$201,MATCH(B131,'任务登记'!$A$2:$A$201,0)),'要件与标签'!$D$23:$D$29,0),"引用未来材料","字段齐备"))))))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10" t="str">
        <x:f>IF(COUNTA(A132:L132)=0,"",IF(OR(A132="",B132="",C132="",D132="",E132="",F132="",G132="",H132="",I132="",J132=""),"缺必填",IF(COUNTIF($A$2:$A$201,A132)&gt;1,"ID重复",IF(COUNTIF('任务登记'!$A$2:$A$201,B132)&lt;&gt;1,"任务ID无效",IF(COUNTIF('材料'!$A$2:$A$201,C132)&lt;&gt;1,"材料ID无效",IF(INDEX('材料'!$B$2:$B$201,MATCH(C132,'材料'!$A$2:$A$201,0))&lt;&gt;INDEX('任务登记'!$B$2:$B$201,MATCH(B132,'任务登记'!$A$2:$A$201,0)),"材料与任务跨案",IF(ISERROR(SEARCH(";"&amp;C132&amp;";",";"&amp;INDEX('任务登记'!$H$2:$H$201,MATCH(B132,'任务登记'!$A$2:$A$201,0))&amp;";")),"材料不在可见清单",IF(COUNTIF('要件与标签'!$D$23:$D$29,INDEX('材料'!$H$2:$H$201,MATCH(C132,'材料'!$A$2:$A$201,0)))&lt;&gt;1,"材料阶段无效",IF(COUNTIF('要件与标签'!$D$23:$D$29,INDEX('任务登记'!$G$2:$G$201,MATCH(B132,'任务登记'!$A$2:$A$201,0)))&lt;&gt;1,"任务阶段无效",IF(MATCH(INDEX('材料'!$H$2:$H$201,MATCH(C132,'材料'!$A$2:$A$201,0)),'要件与标签'!$D$23:$D$29,0)&gt;MATCH(INDEX('任务登记'!$G$2:$G$201,MATCH(B132,'任务登记'!$A$2:$A$201,0)),'要件与标签'!$D$23:$D$29,0),"引用未来材料","字段齐备"))))))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10" t="str">
        <x:f>IF(COUNTA(A133:L133)=0,"",IF(OR(A133="",B133="",C133="",D133="",E133="",F133="",G133="",H133="",I133="",J133=""),"缺必填",IF(COUNTIF($A$2:$A$201,A133)&gt;1,"ID重复",IF(COUNTIF('任务登记'!$A$2:$A$201,B133)&lt;&gt;1,"任务ID无效",IF(COUNTIF('材料'!$A$2:$A$201,C133)&lt;&gt;1,"材料ID无效",IF(INDEX('材料'!$B$2:$B$201,MATCH(C133,'材料'!$A$2:$A$201,0))&lt;&gt;INDEX('任务登记'!$B$2:$B$201,MATCH(B133,'任务登记'!$A$2:$A$201,0)),"材料与任务跨案",IF(ISERROR(SEARCH(";"&amp;C133&amp;";",";"&amp;INDEX('任务登记'!$H$2:$H$201,MATCH(B133,'任务登记'!$A$2:$A$201,0))&amp;";")),"材料不在可见清单",IF(COUNTIF('要件与标签'!$D$23:$D$29,INDEX('材料'!$H$2:$H$201,MATCH(C133,'材料'!$A$2:$A$201,0)))&lt;&gt;1,"材料阶段无效",IF(COUNTIF('要件与标签'!$D$23:$D$29,INDEX('任务登记'!$G$2:$G$201,MATCH(B133,'任务登记'!$A$2:$A$201,0)))&lt;&gt;1,"任务阶段无效",IF(MATCH(INDEX('材料'!$H$2:$H$201,MATCH(C133,'材料'!$A$2:$A$201,0)),'要件与标签'!$D$23:$D$29,0)&gt;MATCH(INDEX('任务登记'!$G$2:$G$201,MATCH(B133,'任务登记'!$A$2:$A$201,0)),'要件与标签'!$D$23:$D$29,0),"引用未来材料","字段齐备"))))))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10" t="str">
        <x:f>IF(COUNTA(A134:L134)=0,"",IF(OR(A134="",B134="",C134="",D134="",E134="",F134="",G134="",H134="",I134="",J134=""),"缺必填",IF(COUNTIF($A$2:$A$201,A134)&gt;1,"ID重复",IF(COUNTIF('任务登记'!$A$2:$A$201,B134)&lt;&gt;1,"任务ID无效",IF(COUNTIF('材料'!$A$2:$A$201,C134)&lt;&gt;1,"材料ID无效",IF(INDEX('材料'!$B$2:$B$201,MATCH(C134,'材料'!$A$2:$A$201,0))&lt;&gt;INDEX('任务登记'!$B$2:$B$201,MATCH(B134,'任务登记'!$A$2:$A$201,0)),"材料与任务跨案",IF(ISERROR(SEARCH(";"&amp;C134&amp;";",";"&amp;INDEX('任务登记'!$H$2:$H$201,MATCH(B134,'任务登记'!$A$2:$A$201,0))&amp;";")),"材料不在可见清单",IF(COUNTIF('要件与标签'!$D$23:$D$29,INDEX('材料'!$H$2:$H$201,MATCH(C134,'材料'!$A$2:$A$201,0)))&lt;&gt;1,"材料阶段无效",IF(COUNTIF('要件与标签'!$D$23:$D$29,INDEX('任务登记'!$G$2:$G$201,MATCH(B134,'任务登记'!$A$2:$A$201,0)))&lt;&gt;1,"任务阶段无效",IF(MATCH(INDEX('材料'!$H$2:$H$201,MATCH(C134,'材料'!$A$2:$A$201,0)),'要件与标签'!$D$23:$D$29,0)&gt;MATCH(INDEX('任务登记'!$G$2:$G$201,MATCH(B134,'任务登记'!$A$2:$A$201,0)),'要件与标签'!$D$23:$D$29,0),"引用未来材料","字段齐备"))))))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10" t="str">
        <x:f>IF(COUNTA(A135:L135)=0,"",IF(OR(A135="",B135="",C135="",D135="",E135="",F135="",G135="",H135="",I135="",J135=""),"缺必填",IF(COUNTIF($A$2:$A$201,A135)&gt;1,"ID重复",IF(COUNTIF('任务登记'!$A$2:$A$201,B135)&lt;&gt;1,"任务ID无效",IF(COUNTIF('材料'!$A$2:$A$201,C135)&lt;&gt;1,"材料ID无效",IF(INDEX('材料'!$B$2:$B$201,MATCH(C135,'材料'!$A$2:$A$201,0))&lt;&gt;INDEX('任务登记'!$B$2:$B$201,MATCH(B135,'任务登记'!$A$2:$A$201,0)),"材料与任务跨案",IF(ISERROR(SEARCH(";"&amp;C135&amp;";",";"&amp;INDEX('任务登记'!$H$2:$H$201,MATCH(B135,'任务登记'!$A$2:$A$201,0))&amp;";")),"材料不在可见清单",IF(COUNTIF('要件与标签'!$D$23:$D$29,INDEX('材料'!$H$2:$H$201,MATCH(C135,'材料'!$A$2:$A$201,0)))&lt;&gt;1,"材料阶段无效",IF(COUNTIF('要件与标签'!$D$23:$D$29,INDEX('任务登记'!$G$2:$G$201,MATCH(B135,'任务登记'!$A$2:$A$201,0)))&lt;&gt;1,"任务阶段无效",IF(MATCH(INDEX('材料'!$H$2:$H$201,MATCH(C135,'材料'!$A$2:$A$201,0)),'要件与标签'!$D$23:$D$29,0)&gt;MATCH(INDEX('任务登记'!$G$2:$G$201,MATCH(B135,'任务登记'!$A$2:$A$201,0)),'要件与标签'!$D$23:$D$29,0),"引用未来材料","字段齐备"))))))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10" t="str">
        <x:f>IF(COUNTA(A136:L136)=0,"",IF(OR(A136="",B136="",C136="",D136="",E136="",F136="",G136="",H136="",I136="",J136=""),"缺必填",IF(COUNTIF($A$2:$A$201,A136)&gt;1,"ID重复",IF(COUNTIF('任务登记'!$A$2:$A$201,B136)&lt;&gt;1,"任务ID无效",IF(COUNTIF('材料'!$A$2:$A$201,C136)&lt;&gt;1,"材料ID无效",IF(INDEX('材料'!$B$2:$B$201,MATCH(C136,'材料'!$A$2:$A$201,0))&lt;&gt;INDEX('任务登记'!$B$2:$B$201,MATCH(B136,'任务登记'!$A$2:$A$201,0)),"材料与任务跨案",IF(ISERROR(SEARCH(";"&amp;C136&amp;";",";"&amp;INDEX('任务登记'!$H$2:$H$201,MATCH(B136,'任务登记'!$A$2:$A$201,0))&amp;";")),"材料不在可见清单",IF(COUNTIF('要件与标签'!$D$23:$D$29,INDEX('材料'!$H$2:$H$201,MATCH(C136,'材料'!$A$2:$A$201,0)))&lt;&gt;1,"材料阶段无效",IF(COUNTIF('要件与标签'!$D$23:$D$29,INDEX('任务登记'!$G$2:$G$201,MATCH(B136,'任务登记'!$A$2:$A$201,0)))&lt;&gt;1,"任务阶段无效",IF(MATCH(INDEX('材料'!$H$2:$H$201,MATCH(C136,'材料'!$A$2:$A$201,0)),'要件与标签'!$D$23:$D$29,0)&gt;MATCH(INDEX('任务登记'!$G$2:$G$201,MATCH(B136,'任务登记'!$A$2:$A$201,0)),'要件与标签'!$D$23:$D$29,0),"引用未来材料","字段齐备"))))))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10" t="str">
        <x:f>IF(COUNTA(A137:L137)=0,"",IF(OR(A137="",B137="",C137="",D137="",E137="",F137="",G137="",H137="",I137="",J137=""),"缺必填",IF(COUNTIF($A$2:$A$201,A137)&gt;1,"ID重复",IF(COUNTIF('任务登记'!$A$2:$A$201,B137)&lt;&gt;1,"任务ID无效",IF(COUNTIF('材料'!$A$2:$A$201,C137)&lt;&gt;1,"材料ID无效",IF(INDEX('材料'!$B$2:$B$201,MATCH(C137,'材料'!$A$2:$A$201,0))&lt;&gt;INDEX('任务登记'!$B$2:$B$201,MATCH(B137,'任务登记'!$A$2:$A$201,0)),"材料与任务跨案",IF(ISERROR(SEARCH(";"&amp;C137&amp;";",";"&amp;INDEX('任务登记'!$H$2:$H$201,MATCH(B137,'任务登记'!$A$2:$A$201,0))&amp;";")),"材料不在可见清单",IF(COUNTIF('要件与标签'!$D$23:$D$29,INDEX('材料'!$H$2:$H$201,MATCH(C137,'材料'!$A$2:$A$201,0)))&lt;&gt;1,"材料阶段无效",IF(COUNTIF('要件与标签'!$D$23:$D$29,INDEX('任务登记'!$G$2:$G$201,MATCH(B137,'任务登记'!$A$2:$A$201,0)))&lt;&gt;1,"任务阶段无效",IF(MATCH(INDEX('材料'!$H$2:$H$201,MATCH(C137,'材料'!$A$2:$A$201,0)),'要件与标签'!$D$23:$D$29,0)&gt;MATCH(INDEX('任务登记'!$G$2:$G$201,MATCH(B137,'任务登记'!$A$2:$A$201,0)),'要件与标签'!$D$23:$D$29,0),"引用未来材料","字段齐备"))))))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10" t="str">
        <x:f>IF(COUNTA(A138:L138)=0,"",IF(OR(A138="",B138="",C138="",D138="",E138="",F138="",G138="",H138="",I138="",J138=""),"缺必填",IF(COUNTIF($A$2:$A$201,A138)&gt;1,"ID重复",IF(COUNTIF('任务登记'!$A$2:$A$201,B138)&lt;&gt;1,"任务ID无效",IF(COUNTIF('材料'!$A$2:$A$201,C138)&lt;&gt;1,"材料ID无效",IF(INDEX('材料'!$B$2:$B$201,MATCH(C138,'材料'!$A$2:$A$201,0))&lt;&gt;INDEX('任务登记'!$B$2:$B$201,MATCH(B138,'任务登记'!$A$2:$A$201,0)),"材料与任务跨案",IF(ISERROR(SEARCH(";"&amp;C138&amp;";",";"&amp;INDEX('任务登记'!$H$2:$H$201,MATCH(B138,'任务登记'!$A$2:$A$201,0))&amp;";")),"材料不在可见清单",IF(COUNTIF('要件与标签'!$D$23:$D$29,INDEX('材料'!$H$2:$H$201,MATCH(C138,'材料'!$A$2:$A$201,0)))&lt;&gt;1,"材料阶段无效",IF(COUNTIF('要件与标签'!$D$23:$D$29,INDEX('任务登记'!$G$2:$G$201,MATCH(B138,'任务登记'!$A$2:$A$201,0)))&lt;&gt;1,"任务阶段无效",IF(MATCH(INDEX('材料'!$H$2:$H$201,MATCH(C138,'材料'!$A$2:$A$201,0)),'要件与标签'!$D$23:$D$29,0)&gt;MATCH(INDEX('任务登记'!$G$2:$G$201,MATCH(B138,'任务登记'!$A$2:$A$201,0)),'要件与标签'!$D$23:$D$29,0),"引用未来材料","字段齐备"))))))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10" t="str">
        <x:f>IF(COUNTA(A139:L139)=0,"",IF(OR(A139="",B139="",C139="",D139="",E139="",F139="",G139="",H139="",I139="",J139=""),"缺必填",IF(COUNTIF($A$2:$A$201,A139)&gt;1,"ID重复",IF(COUNTIF('任务登记'!$A$2:$A$201,B139)&lt;&gt;1,"任务ID无效",IF(COUNTIF('材料'!$A$2:$A$201,C139)&lt;&gt;1,"材料ID无效",IF(INDEX('材料'!$B$2:$B$201,MATCH(C139,'材料'!$A$2:$A$201,0))&lt;&gt;INDEX('任务登记'!$B$2:$B$201,MATCH(B139,'任务登记'!$A$2:$A$201,0)),"材料与任务跨案",IF(ISERROR(SEARCH(";"&amp;C139&amp;";",";"&amp;INDEX('任务登记'!$H$2:$H$201,MATCH(B139,'任务登记'!$A$2:$A$201,0))&amp;";")),"材料不在可见清单",IF(COUNTIF('要件与标签'!$D$23:$D$29,INDEX('材料'!$H$2:$H$201,MATCH(C139,'材料'!$A$2:$A$201,0)))&lt;&gt;1,"材料阶段无效",IF(COUNTIF('要件与标签'!$D$23:$D$29,INDEX('任务登记'!$G$2:$G$201,MATCH(B139,'任务登记'!$A$2:$A$201,0)))&lt;&gt;1,"任务阶段无效",IF(MATCH(INDEX('材料'!$H$2:$H$201,MATCH(C139,'材料'!$A$2:$A$201,0)),'要件与标签'!$D$23:$D$29,0)&gt;MATCH(INDEX('任务登记'!$G$2:$G$201,MATCH(B139,'任务登记'!$A$2:$A$201,0)),'要件与标签'!$D$23:$D$29,0),"引用未来材料","字段齐备"))))))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10" t="str">
        <x:f>IF(COUNTA(A140:L140)=0,"",IF(OR(A140="",B140="",C140="",D140="",E140="",F140="",G140="",H140="",I140="",J140=""),"缺必填",IF(COUNTIF($A$2:$A$201,A140)&gt;1,"ID重复",IF(COUNTIF('任务登记'!$A$2:$A$201,B140)&lt;&gt;1,"任务ID无效",IF(COUNTIF('材料'!$A$2:$A$201,C140)&lt;&gt;1,"材料ID无效",IF(INDEX('材料'!$B$2:$B$201,MATCH(C140,'材料'!$A$2:$A$201,0))&lt;&gt;INDEX('任务登记'!$B$2:$B$201,MATCH(B140,'任务登记'!$A$2:$A$201,0)),"材料与任务跨案",IF(ISERROR(SEARCH(";"&amp;C140&amp;";",";"&amp;INDEX('任务登记'!$H$2:$H$201,MATCH(B140,'任务登记'!$A$2:$A$201,0))&amp;";")),"材料不在可见清单",IF(COUNTIF('要件与标签'!$D$23:$D$29,INDEX('材料'!$H$2:$H$201,MATCH(C140,'材料'!$A$2:$A$201,0)))&lt;&gt;1,"材料阶段无效",IF(COUNTIF('要件与标签'!$D$23:$D$29,INDEX('任务登记'!$G$2:$G$201,MATCH(B140,'任务登记'!$A$2:$A$201,0)))&lt;&gt;1,"任务阶段无效",IF(MATCH(INDEX('材料'!$H$2:$H$201,MATCH(C140,'材料'!$A$2:$A$201,0)),'要件与标签'!$D$23:$D$29,0)&gt;MATCH(INDEX('任务登记'!$G$2:$G$201,MATCH(B140,'任务登记'!$A$2:$A$201,0)),'要件与标签'!$D$23:$D$29,0),"引用未来材料","字段齐备"))))))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10" t="str">
        <x:f>IF(COUNTA(A141:L141)=0,"",IF(OR(A141="",B141="",C141="",D141="",E141="",F141="",G141="",H141="",I141="",J141=""),"缺必填",IF(COUNTIF($A$2:$A$201,A141)&gt;1,"ID重复",IF(COUNTIF('任务登记'!$A$2:$A$201,B141)&lt;&gt;1,"任务ID无效",IF(COUNTIF('材料'!$A$2:$A$201,C141)&lt;&gt;1,"材料ID无效",IF(INDEX('材料'!$B$2:$B$201,MATCH(C141,'材料'!$A$2:$A$201,0))&lt;&gt;INDEX('任务登记'!$B$2:$B$201,MATCH(B141,'任务登记'!$A$2:$A$201,0)),"材料与任务跨案",IF(ISERROR(SEARCH(";"&amp;C141&amp;";",";"&amp;INDEX('任务登记'!$H$2:$H$201,MATCH(B141,'任务登记'!$A$2:$A$201,0))&amp;";")),"材料不在可见清单",IF(COUNTIF('要件与标签'!$D$23:$D$29,INDEX('材料'!$H$2:$H$201,MATCH(C141,'材料'!$A$2:$A$201,0)))&lt;&gt;1,"材料阶段无效",IF(COUNTIF('要件与标签'!$D$23:$D$29,INDEX('任务登记'!$G$2:$G$201,MATCH(B141,'任务登记'!$A$2:$A$201,0)))&lt;&gt;1,"任务阶段无效",IF(MATCH(INDEX('材料'!$H$2:$H$201,MATCH(C141,'材料'!$A$2:$A$201,0)),'要件与标签'!$D$23:$D$29,0)&gt;MATCH(INDEX('任务登记'!$G$2:$G$201,MATCH(B141,'任务登记'!$A$2:$A$201,0)),'要件与标签'!$D$23:$D$29,0),"引用未来材料","字段齐备"))))))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10" t="str">
        <x:f>IF(COUNTA(A142:L142)=0,"",IF(OR(A142="",B142="",C142="",D142="",E142="",F142="",G142="",H142="",I142="",J142=""),"缺必填",IF(COUNTIF($A$2:$A$201,A142)&gt;1,"ID重复",IF(COUNTIF('任务登记'!$A$2:$A$201,B142)&lt;&gt;1,"任务ID无效",IF(COUNTIF('材料'!$A$2:$A$201,C142)&lt;&gt;1,"材料ID无效",IF(INDEX('材料'!$B$2:$B$201,MATCH(C142,'材料'!$A$2:$A$201,0))&lt;&gt;INDEX('任务登记'!$B$2:$B$201,MATCH(B142,'任务登记'!$A$2:$A$201,0)),"材料与任务跨案",IF(ISERROR(SEARCH(";"&amp;C142&amp;";",";"&amp;INDEX('任务登记'!$H$2:$H$201,MATCH(B142,'任务登记'!$A$2:$A$201,0))&amp;";")),"材料不在可见清单",IF(COUNTIF('要件与标签'!$D$23:$D$29,INDEX('材料'!$H$2:$H$201,MATCH(C142,'材料'!$A$2:$A$201,0)))&lt;&gt;1,"材料阶段无效",IF(COUNTIF('要件与标签'!$D$23:$D$29,INDEX('任务登记'!$G$2:$G$201,MATCH(B142,'任务登记'!$A$2:$A$201,0)))&lt;&gt;1,"任务阶段无效",IF(MATCH(INDEX('材料'!$H$2:$H$201,MATCH(C142,'材料'!$A$2:$A$201,0)),'要件与标签'!$D$23:$D$29,0)&gt;MATCH(INDEX('任务登记'!$G$2:$G$201,MATCH(B142,'任务登记'!$A$2:$A$201,0)),'要件与标签'!$D$23:$D$29,0),"引用未来材料","字段齐备"))))))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10" t="str">
        <x:f>IF(COUNTA(A143:L143)=0,"",IF(OR(A143="",B143="",C143="",D143="",E143="",F143="",G143="",H143="",I143="",J143=""),"缺必填",IF(COUNTIF($A$2:$A$201,A143)&gt;1,"ID重复",IF(COUNTIF('任务登记'!$A$2:$A$201,B143)&lt;&gt;1,"任务ID无效",IF(COUNTIF('材料'!$A$2:$A$201,C143)&lt;&gt;1,"材料ID无效",IF(INDEX('材料'!$B$2:$B$201,MATCH(C143,'材料'!$A$2:$A$201,0))&lt;&gt;INDEX('任务登记'!$B$2:$B$201,MATCH(B143,'任务登记'!$A$2:$A$201,0)),"材料与任务跨案",IF(ISERROR(SEARCH(";"&amp;C143&amp;";",";"&amp;INDEX('任务登记'!$H$2:$H$201,MATCH(B143,'任务登记'!$A$2:$A$201,0))&amp;";")),"材料不在可见清单",IF(COUNTIF('要件与标签'!$D$23:$D$29,INDEX('材料'!$H$2:$H$201,MATCH(C143,'材料'!$A$2:$A$201,0)))&lt;&gt;1,"材料阶段无效",IF(COUNTIF('要件与标签'!$D$23:$D$29,INDEX('任务登记'!$G$2:$G$201,MATCH(B143,'任务登记'!$A$2:$A$201,0)))&lt;&gt;1,"任务阶段无效",IF(MATCH(INDEX('材料'!$H$2:$H$201,MATCH(C143,'材料'!$A$2:$A$201,0)),'要件与标签'!$D$23:$D$29,0)&gt;MATCH(INDEX('任务登记'!$G$2:$G$201,MATCH(B143,'任务登记'!$A$2:$A$201,0)),'要件与标签'!$D$23:$D$29,0),"引用未来材料","字段齐备"))))))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10" t="str">
        <x:f>IF(COUNTA(A144:L144)=0,"",IF(OR(A144="",B144="",C144="",D144="",E144="",F144="",G144="",H144="",I144="",J144=""),"缺必填",IF(COUNTIF($A$2:$A$201,A144)&gt;1,"ID重复",IF(COUNTIF('任务登记'!$A$2:$A$201,B144)&lt;&gt;1,"任务ID无效",IF(COUNTIF('材料'!$A$2:$A$201,C144)&lt;&gt;1,"材料ID无效",IF(INDEX('材料'!$B$2:$B$201,MATCH(C144,'材料'!$A$2:$A$201,0))&lt;&gt;INDEX('任务登记'!$B$2:$B$201,MATCH(B144,'任务登记'!$A$2:$A$201,0)),"材料与任务跨案",IF(ISERROR(SEARCH(";"&amp;C144&amp;";",";"&amp;INDEX('任务登记'!$H$2:$H$201,MATCH(B144,'任务登记'!$A$2:$A$201,0))&amp;";")),"材料不在可见清单",IF(COUNTIF('要件与标签'!$D$23:$D$29,INDEX('材料'!$H$2:$H$201,MATCH(C144,'材料'!$A$2:$A$201,0)))&lt;&gt;1,"材料阶段无效",IF(COUNTIF('要件与标签'!$D$23:$D$29,INDEX('任务登记'!$G$2:$G$201,MATCH(B144,'任务登记'!$A$2:$A$201,0)))&lt;&gt;1,"任务阶段无效",IF(MATCH(INDEX('材料'!$H$2:$H$201,MATCH(C144,'材料'!$A$2:$A$201,0)),'要件与标签'!$D$23:$D$29,0)&gt;MATCH(INDEX('任务登记'!$G$2:$G$201,MATCH(B144,'任务登记'!$A$2:$A$201,0)),'要件与标签'!$D$23:$D$29,0),"引用未来材料","字段齐备"))))))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10" t="str">
        <x:f>IF(COUNTA(A145:L145)=0,"",IF(OR(A145="",B145="",C145="",D145="",E145="",F145="",G145="",H145="",I145="",J145=""),"缺必填",IF(COUNTIF($A$2:$A$201,A145)&gt;1,"ID重复",IF(COUNTIF('任务登记'!$A$2:$A$201,B145)&lt;&gt;1,"任务ID无效",IF(COUNTIF('材料'!$A$2:$A$201,C145)&lt;&gt;1,"材料ID无效",IF(INDEX('材料'!$B$2:$B$201,MATCH(C145,'材料'!$A$2:$A$201,0))&lt;&gt;INDEX('任务登记'!$B$2:$B$201,MATCH(B145,'任务登记'!$A$2:$A$201,0)),"材料与任务跨案",IF(ISERROR(SEARCH(";"&amp;C145&amp;";",";"&amp;INDEX('任务登记'!$H$2:$H$201,MATCH(B145,'任务登记'!$A$2:$A$201,0))&amp;";")),"材料不在可见清单",IF(COUNTIF('要件与标签'!$D$23:$D$29,INDEX('材料'!$H$2:$H$201,MATCH(C145,'材料'!$A$2:$A$201,0)))&lt;&gt;1,"材料阶段无效",IF(COUNTIF('要件与标签'!$D$23:$D$29,INDEX('任务登记'!$G$2:$G$201,MATCH(B145,'任务登记'!$A$2:$A$201,0)))&lt;&gt;1,"任务阶段无效",IF(MATCH(INDEX('材料'!$H$2:$H$201,MATCH(C145,'材料'!$A$2:$A$201,0)),'要件与标签'!$D$23:$D$29,0)&gt;MATCH(INDEX('任务登记'!$G$2:$G$201,MATCH(B145,'任务登记'!$A$2:$A$201,0)),'要件与标签'!$D$23:$D$29,0),"引用未来材料","字段齐备"))))))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10" t="str">
        <x:f>IF(COUNTA(A146:L146)=0,"",IF(OR(A146="",B146="",C146="",D146="",E146="",F146="",G146="",H146="",I146="",J146=""),"缺必填",IF(COUNTIF($A$2:$A$201,A146)&gt;1,"ID重复",IF(COUNTIF('任务登记'!$A$2:$A$201,B146)&lt;&gt;1,"任务ID无效",IF(COUNTIF('材料'!$A$2:$A$201,C146)&lt;&gt;1,"材料ID无效",IF(INDEX('材料'!$B$2:$B$201,MATCH(C146,'材料'!$A$2:$A$201,0))&lt;&gt;INDEX('任务登记'!$B$2:$B$201,MATCH(B146,'任务登记'!$A$2:$A$201,0)),"材料与任务跨案",IF(ISERROR(SEARCH(";"&amp;C146&amp;";",";"&amp;INDEX('任务登记'!$H$2:$H$201,MATCH(B146,'任务登记'!$A$2:$A$201,0))&amp;";")),"材料不在可见清单",IF(COUNTIF('要件与标签'!$D$23:$D$29,INDEX('材料'!$H$2:$H$201,MATCH(C146,'材料'!$A$2:$A$201,0)))&lt;&gt;1,"材料阶段无效",IF(COUNTIF('要件与标签'!$D$23:$D$29,INDEX('任务登记'!$G$2:$G$201,MATCH(B146,'任务登记'!$A$2:$A$201,0)))&lt;&gt;1,"任务阶段无效",IF(MATCH(INDEX('材料'!$H$2:$H$201,MATCH(C146,'材料'!$A$2:$A$201,0)),'要件与标签'!$D$23:$D$29,0)&gt;MATCH(INDEX('任务登记'!$G$2:$G$201,MATCH(B146,'任务登记'!$A$2:$A$201,0)),'要件与标签'!$D$23:$D$29,0),"引用未来材料","字段齐备"))))))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10" t="str">
        <x:f>IF(COUNTA(A147:L147)=0,"",IF(OR(A147="",B147="",C147="",D147="",E147="",F147="",G147="",H147="",I147="",J147=""),"缺必填",IF(COUNTIF($A$2:$A$201,A147)&gt;1,"ID重复",IF(COUNTIF('任务登记'!$A$2:$A$201,B147)&lt;&gt;1,"任务ID无效",IF(COUNTIF('材料'!$A$2:$A$201,C147)&lt;&gt;1,"材料ID无效",IF(INDEX('材料'!$B$2:$B$201,MATCH(C147,'材料'!$A$2:$A$201,0))&lt;&gt;INDEX('任务登记'!$B$2:$B$201,MATCH(B147,'任务登记'!$A$2:$A$201,0)),"材料与任务跨案",IF(ISERROR(SEARCH(";"&amp;C147&amp;";",";"&amp;INDEX('任务登记'!$H$2:$H$201,MATCH(B147,'任务登记'!$A$2:$A$201,0))&amp;";")),"材料不在可见清单",IF(COUNTIF('要件与标签'!$D$23:$D$29,INDEX('材料'!$H$2:$H$201,MATCH(C147,'材料'!$A$2:$A$201,0)))&lt;&gt;1,"材料阶段无效",IF(COUNTIF('要件与标签'!$D$23:$D$29,INDEX('任务登记'!$G$2:$G$201,MATCH(B147,'任务登记'!$A$2:$A$201,0)))&lt;&gt;1,"任务阶段无效",IF(MATCH(INDEX('材料'!$H$2:$H$201,MATCH(C147,'材料'!$A$2:$A$201,0)),'要件与标签'!$D$23:$D$29,0)&gt;MATCH(INDEX('任务登记'!$G$2:$G$201,MATCH(B147,'任务登记'!$A$2:$A$201,0)),'要件与标签'!$D$23:$D$29,0),"引用未来材料","字段齐备"))))))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10" t="str">
        <x:f>IF(COUNTA(A148:L148)=0,"",IF(OR(A148="",B148="",C148="",D148="",E148="",F148="",G148="",H148="",I148="",J148=""),"缺必填",IF(COUNTIF($A$2:$A$201,A148)&gt;1,"ID重复",IF(COUNTIF('任务登记'!$A$2:$A$201,B148)&lt;&gt;1,"任务ID无效",IF(COUNTIF('材料'!$A$2:$A$201,C148)&lt;&gt;1,"材料ID无效",IF(INDEX('材料'!$B$2:$B$201,MATCH(C148,'材料'!$A$2:$A$201,0))&lt;&gt;INDEX('任务登记'!$B$2:$B$201,MATCH(B148,'任务登记'!$A$2:$A$201,0)),"材料与任务跨案",IF(ISERROR(SEARCH(";"&amp;C148&amp;";",";"&amp;INDEX('任务登记'!$H$2:$H$201,MATCH(B148,'任务登记'!$A$2:$A$201,0))&amp;";")),"材料不在可见清单",IF(COUNTIF('要件与标签'!$D$23:$D$29,INDEX('材料'!$H$2:$H$201,MATCH(C148,'材料'!$A$2:$A$201,0)))&lt;&gt;1,"材料阶段无效",IF(COUNTIF('要件与标签'!$D$23:$D$29,INDEX('任务登记'!$G$2:$G$201,MATCH(B148,'任务登记'!$A$2:$A$201,0)))&lt;&gt;1,"任务阶段无效",IF(MATCH(INDEX('材料'!$H$2:$H$201,MATCH(C148,'材料'!$A$2:$A$201,0)),'要件与标签'!$D$23:$D$29,0)&gt;MATCH(INDEX('任务登记'!$G$2:$G$201,MATCH(B148,'任务登记'!$A$2:$A$201,0)),'要件与标签'!$D$23:$D$29,0),"引用未来材料","字段齐备"))))))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10" t="str">
        <x:f>IF(COUNTA(A149:L149)=0,"",IF(OR(A149="",B149="",C149="",D149="",E149="",F149="",G149="",H149="",I149="",J149=""),"缺必填",IF(COUNTIF($A$2:$A$201,A149)&gt;1,"ID重复",IF(COUNTIF('任务登记'!$A$2:$A$201,B149)&lt;&gt;1,"任务ID无效",IF(COUNTIF('材料'!$A$2:$A$201,C149)&lt;&gt;1,"材料ID无效",IF(INDEX('材料'!$B$2:$B$201,MATCH(C149,'材料'!$A$2:$A$201,0))&lt;&gt;INDEX('任务登记'!$B$2:$B$201,MATCH(B149,'任务登记'!$A$2:$A$201,0)),"材料与任务跨案",IF(ISERROR(SEARCH(";"&amp;C149&amp;";",";"&amp;INDEX('任务登记'!$H$2:$H$201,MATCH(B149,'任务登记'!$A$2:$A$201,0))&amp;";")),"材料不在可见清单",IF(COUNTIF('要件与标签'!$D$23:$D$29,INDEX('材料'!$H$2:$H$201,MATCH(C149,'材料'!$A$2:$A$201,0)))&lt;&gt;1,"材料阶段无效",IF(COUNTIF('要件与标签'!$D$23:$D$29,INDEX('任务登记'!$G$2:$G$201,MATCH(B149,'任务登记'!$A$2:$A$201,0)))&lt;&gt;1,"任务阶段无效",IF(MATCH(INDEX('材料'!$H$2:$H$201,MATCH(C149,'材料'!$A$2:$A$201,0)),'要件与标签'!$D$23:$D$29,0)&gt;MATCH(INDEX('任务登记'!$G$2:$G$201,MATCH(B149,'任务登记'!$A$2:$A$201,0)),'要件与标签'!$D$23:$D$29,0),"引用未来材料","字段齐备"))))))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10" t="str">
        <x:f>IF(COUNTA(A150:L150)=0,"",IF(OR(A150="",B150="",C150="",D150="",E150="",F150="",G150="",H150="",I150="",J150=""),"缺必填",IF(COUNTIF($A$2:$A$201,A150)&gt;1,"ID重复",IF(COUNTIF('任务登记'!$A$2:$A$201,B150)&lt;&gt;1,"任务ID无效",IF(COUNTIF('材料'!$A$2:$A$201,C150)&lt;&gt;1,"材料ID无效",IF(INDEX('材料'!$B$2:$B$201,MATCH(C150,'材料'!$A$2:$A$201,0))&lt;&gt;INDEX('任务登记'!$B$2:$B$201,MATCH(B150,'任务登记'!$A$2:$A$201,0)),"材料与任务跨案",IF(ISERROR(SEARCH(";"&amp;C150&amp;";",";"&amp;INDEX('任务登记'!$H$2:$H$201,MATCH(B150,'任务登记'!$A$2:$A$201,0))&amp;";")),"材料不在可见清单",IF(COUNTIF('要件与标签'!$D$23:$D$29,INDEX('材料'!$H$2:$H$201,MATCH(C150,'材料'!$A$2:$A$201,0)))&lt;&gt;1,"材料阶段无效",IF(COUNTIF('要件与标签'!$D$23:$D$29,INDEX('任务登记'!$G$2:$G$201,MATCH(B150,'任务登记'!$A$2:$A$201,0)))&lt;&gt;1,"任务阶段无效",IF(MATCH(INDEX('材料'!$H$2:$H$201,MATCH(C150,'材料'!$A$2:$A$201,0)),'要件与标签'!$D$23:$D$29,0)&gt;MATCH(INDEX('任务登记'!$G$2:$G$201,MATCH(B150,'任务登记'!$A$2:$A$201,0)),'要件与标签'!$D$23:$D$29,0),"引用未来材料","字段齐备"))))))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10" t="str">
        <x:f>IF(COUNTA(A151:L151)=0,"",IF(OR(A151="",B151="",C151="",D151="",E151="",F151="",G151="",H151="",I151="",J151=""),"缺必填",IF(COUNTIF($A$2:$A$201,A151)&gt;1,"ID重复",IF(COUNTIF('任务登记'!$A$2:$A$201,B151)&lt;&gt;1,"任务ID无效",IF(COUNTIF('材料'!$A$2:$A$201,C151)&lt;&gt;1,"材料ID无效",IF(INDEX('材料'!$B$2:$B$201,MATCH(C151,'材料'!$A$2:$A$201,0))&lt;&gt;INDEX('任务登记'!$B$2:$B$201,MATCH(B151,'任务登记'!$A$2:$A$201,0)),"材料与任务跨案",IF(ISERROR(SEARCH(";"&amp;C151&amp;";",";"&amp;INDEX('任务登记'!$H$2:$H$201,MATCH(B151,'任务登记'!$A$2:$A$201,0))&amp;";")),"材料不在可见清单",IF(COUNTIF('要件与标签'!$D$23:$D$29,INDEX('材料'!$H$2:$H$201,MATCH(C151,'材料'!$A$2:$A$201,0)))&lt;&gt;1,"材料阶段无效",IF(COUNTIF('要件与标签'!$D$23:$D$29,INDEX('任务登记'!$G$2:$G$201,MATCH(B151,'任务登记'!$A$2:$A$201,0)))&lt;&gt;1,"任务阶段无效",IF(MATCH(INDEX('材料'!$H$2:$H$201,MATCH(C151,'材料'!$A$2:$A$201,0)),'要件与标签'!$D$23:$D$29,0)&gt;MATCH(INDEX('任务登记'!$G$2:$G$201,MATCH(B151,'任务登记'!$A$2:$A$201,0)),'要件与标签'!$D$23:$D$29,0),"引用未来材料","字段齐备"))))))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10" t="str">
        <x:f>IF(COUNTA(A152:L152)=0,"",IF(OR(A152="",B152="",C152="",D152="",E152="",F152="",G152="",H152="",I152="",J152=""),"缺必填",IF(COUNTIF($A$2:$A$201,A152)&gt;1,"ID重复",IF(COUNTIF('任务登记'!$A$2:$A$201,B152)&lt;&gt;1,"任务ID无效",IF(COUNTIF('材料'!$A$2:$A$201,C152)&lt;&gt;1,"材料ID无效",IF(INDEX('材料'!$B$2:$B$201,MATCH(C152,'材料'!$A$2:$A$201,0))&lt;&gt;INDEX('任务登记'!$B$2:$B$201,MATCH(B152,'任务登记'!$A$2:$A$201,0)),"材料与任务跨案",IF(ISERROR(SEARCH(";"&amp;C152&amp;";",";"&amp;INDEX('任务登记'!$H$2:$H$201,MATCH(B152,'任务登记'!$A$2:$A$201,0))&amp;";")),"材料不在可见清单",IF(COUNTIF('要件与标签'!$D$23:$D$29,INDEX('材料'!$H$2:$H$201,MATCH(C152,'材料'!$A$2:$A$201,0)))&lt;&gt;1,"材料阶段无效",IF(COUNTIF('要件与标签'!$D$23:$D$29,INDEX('任务登记'!$G$2:$G$201,MATCH(B152,'任务登记'!$A$2:$A$201,0)))&lt;&gt;1,"任务阶段无效",IF(MATCH(INDEX('材料'!$H$2:$H$201,MATCH(C152,'材料'!$A$2:$A$201,0)),'要件与标签'!$D$23:$D$29,0)&gt;MATCH(INDEX('任务登记'!$G$2:$G$201,MATCH(B152,'任务登记'!$A$2:$A$201,0)),'要件与标签'!$D$23:$D$29,0),"引用未来材料","字段齐备"))))))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10" t="str">
        <x:f>IF(COUNTA(A153:L153)=0,"",IF(OR(A153="",B153="",C153="",D153="",E153="",F153="",G153="",H153="",I153="",J153=""),"缺必填",IF(COUNTIF($A$2:$A$201,A153)&gt;1,"ID重复",IF(COUNTIF('任务登记'!$A$2:$A$201,B153)&lt;&gt;1,"任务ID无效",IF(COUNTIF('材料'!$A$2:$A$201,C153)&lt;&gt;1,"材料ID无效",IF(INDEX('材料'!$B$2:$B$201,MATCH(C153,'材料'!$A$2:$A$201,0))&lt;&gt;INDEX('任务登记'!$B$2:$B$201,MATCH(B153,'任务登记'!$A$2:$A$201,0)),"材料与任务跨案",IF(ISERROR(SEARCH(";"&amp;C153&amp;";",";"&amp;INDEX('任务登记'!$H$2:$H$201,MATCH(B153,'任务登记'!$A$2:$A$201,0))&amp;";")),"材料不在可见清单",IF(COUNTIF('要件与标签'!$D$23:$D$29,INDEX('材料'!$H$2:$H$201,MATCH(C153,'材料'!$A$2:$A$201,0)))&lt;&gt;1,"材料阶段无效",IF(COUNTIF('要件与标签'!$D$23:$D$29,INDEX('任务登记'!$G$2:$G$201,MATCH(B153,'任务登记'!$A$2:$A$201,0)))&lt;&gt;1,"任务阶段无效",IF(MATCH(INDEX('材料'!$H$2:$H$201,MATCH(C153,'材料'!$A$2:$A$201,0)),'要件与标签'!$D$23:$D$29,0)&gt;MATCH(INDEX('任务登记'!$G$2:$G$201,MATCH(B153,'任务登记'!$A$2:$A$201,0)),'要件与标签'!$D$23:$D$29,0),"引用未来材料","字段齐备"))))))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10" t="str">
        <x:f>IF(COUNTA(A154:L154)=0,"",IF(OR(A154="",B154="",C154="",D154="",E154="",F154="",G154="",H154="",I154="",J154=""),"缺必填",IF(COUNTIF($A$2:$A$201,A154)&gt;1,"ID重复",IF(COUNTIF('任务登记'!$A$2:$A$201,B154)&lt;&gt;1,"任务ID无效",IF(COUNTIF('材料'!$A$2:$A$201,C154)&lt;&gt;1,"材料ID无效",IF(INDEX('材料'!$B$2:$B$201,MATCH(C154,'材料'!$A$2:$A$201,0))&lt;&gt;INDEX('任务登记'!$B$2:$B$201,MATCH(B154,'任务登记'!$A$2:$A$201,0)),"材料与任务跨案",IF(ISERROR(SEARCH(";"&amp;C154&amp;";",";"&amp;INDEX('任务登记'!$H$2:$H$201,MATCH(B154,'任务登记'!$A$2:$A$201,0))&amp;";")),"材料不在可见清单",IF(COUNTIF('要件与标签'!$D$23:$D$29,INDEX('材料'!$H$2:$H$201,MATCH(C154,'材料'!$A$2:$A$201,0)))&lt;&gt;1,"材料阶段无效",IF(COUNTIF('要件与标签'!$D$23:$D$29,INDEX('任务登记'!$G$2:$G$201,MATCH(B154,'任务登记'!$A$2:$A$201,0)))&lt;&gt;1,"任务阶段无效",IF(MATCH(INDEX('材料'!$H$2:$H$201,MATCH(C154,'材料'!$A$2:$A$201,0)),'要件与标签'!$D$23:$D$29,0)&gt;MATCH(INDEX('任务登记'!$G$2:$G$201,MATCH(B154,'任务登记'!$A$2:$A$201,0)),'要件与标签'!$D$23:$D$29,0),"引用未来材料","字段齐备"))))))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10" t="str">
        <x:f>IF(COUNTA(A155:L155)=0,"",IF(OR(A155="",B155="",C155="",D155="",E155="",F155="",G155="",H155="",I155="",J155=""),"缺必填",IF(COUNTIF($A$2:$A$201,A155)&gt;1,"ID重复",IF(COUNTIF('任务登记'!$A$2:$A$201,B155)&lt;&gt;1,"任务ID无效",IF(COUNTIF('材料'!$A$2:$A$201,C155)&lt;&gt;1,"材料ID无效",IF(INDEX('材料'!$B$2:$B$201,MATCH(C155,'材料'!$A$2:$A$201,0))&lt;&gt;INDEX('任务登记'!$B$2:$B$201,MATCH(B155,'任务登记'!$A$2:$A$201,0)),"材料与任务跨案",IF(ISERROR(SEARCH(";"&amp;C155&amp;";",";"&amp;INDEX('任务登记'!$H$2:$H$201,MATCH(B155,'任务登记'!$A$2:$A$201,0))&amp;";")),"材料不在可见清单",IF(COUNTIF('要件与标签'!$D$23:$D$29,INDEX('材料'!$H$2:$H$201,MATCH(C155,'材料'!$A$2:$A$201,0)))&lt;&gt;1,"材料阶段无效",IF(COUNTIF('要件与标签'!$D$23:$D$29,INDEX('任务登记'!$G$2:$G$201,MATCH(B155,'任务登记'!$A$2:$A$201,0)))&lt;&gt;1,"任务阶段无效",IF(MATCH(INDEX('材料'!$H$2:$H$201,MATCH(C155,'材料'!$A$2:$A$201,0)),'要件与标签'!$D$23:$D$29,0)&gt;MATCH(INDEX('任务登记'!$G$2:$G$201,MATCH(B155,'任务登记'!$A$2:$A$201,0)),'要件与标签'!$D$23:$D$29,0),"引用未来材料","字段齐备"))))))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10" t="str">
        <x:f>IF(COUNTA(A156:L156)=0,"",IF(OR(A156="",B156="",C156="",D156="",E156="",F156="",G156="",H156="",I156="",J156=""),"缺必填",IF(COUNTIF($A$2:$A$201,A156)&gt;1,"ID重复",IF(COUNTIF('任务登记'!$A$2:$A$201,B156)&lt;&gt;1,"任务ID无效",IF(COUNTIF('材料'!$A$2:$A$201,C156)&lt;&gt;1,"材料ID无效",IF(INDEX('材料'!$B$2:$B$201,MATCH(C156,'材料'!$A$2:$A$201,0))&lt;&gt;INDEX('任务登记'!$B$2:$B$201,MATCH(B156,'任务登记'!$A$2:$A$201,0)),"材料与任务跨案",IF(ISERROR(SEARCH(";"&amp;C156&amp;";",";"&amp;INDEX('任务登记'!$H$2:$H$201,MATCH(B156,'任务登记'!$A$2:$A$201,0))&amp;";")),"材料不在可见清单",IF(COUNTIF('要件与标签'!$D$23:$D$29,INDEX('材料'!$H$2:$H$201,MATCH(C156,'材料'!$A$2:$A$201,0)))&lt;&gt;1,"材料阶段无效",IF(COUNTIF('要件与标签'!$D$23:$D$29,INDEX('任务登记'!$G$2:$G$201,MATCH(B156,'任务登记'!$A$2:$A$201,0)))&lt;&gt;1,"任务阶段无效",IF(MATCH(INDEX('材料'!$H$2:$H$201,MATCH(C156,'材料'!$A$2:$A$201,0)),'要件与标签'!$D$23:$D$29,0)&gt;MATCH(INDEX('任务登记'!$G$2:$G$201,MATCH(B156,'任务登记'!$A$2:$A$201,0)),'要件与标签'!$D$23:$D$29,0),"引用未来材料","字段齐备"))))))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10" t="str">
        <x:f>IF(COUNTA(A157:L157)=0,"",IF(OR(A157="",B157="",C157="",D157="",E157="",F157="",G157="",H157="",I157="",J157=""),"缺必填",IF(COUNTIF($A$2:$A$201,A157)&gt;1,"ID重复",IF(COUNTIF('任务登记'!$A$2:$A$201,B157)&lt;&gt;1,"任务ID无效",IF(COUNTIF('材料'!$A$2:$A$201,C157)&lt;&gt;1,"材料ID无效",IF(INDEX('材料'!$B$2:$B$201,MATCH(C157,'材料'!$A$2:$A$201,0))&lt;&gt;INDEX('任务登记'!$B$2:$B$201,MATCH(B157,'任务登记'!$A$2:$A$201,0)),"材料与任务跨案",IF(ISERROR(SEARCH(";"&amp;C157&amp;";",";"&amp;INDEX('任务登记'!$H$2:$H$201,MATCH(B157,'任务登记'!$A$2:$A$201,0))&amp;";")),"材料不在可见清单",IF(COUNTIF('要件与标签'!$D$23:$D$29,INDEX('材料'!$H$2:$H$201,MATCH(C157,'材料'!$A$2:$A$201,0)))&lt;&gt;1,"材料阶段无效",IF(COUNTIF('要件与标签'!$D$23:$D$29,INDEX('任务登记'!$G$2:$G$201,MATCH(B157,'任务登记'!$A$2:$A$201,0)))&lt;&gt;1,"任务阶段无效",IF(MATCH(INDEX('材料'!$H$2:$H$201,MATCH(C157,'材料'!$A$2:$A$201,0)),'要件与标签'!$D$23:$D$29,0)&gt;MATCH(INDEX('任务登记'!$G$2:$G$201,MATCH(B157,'任务登记'!$A$2:$A$201,0)),'要件与标签'!$D$23:$D$29,0),"引用未来材料","字段齐备"))))))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10" t="str">
        <x:f>IF(COUNTA(A158:L158)=0,"",IF(OR(A158="",B158="",C158="",D158="",E158="",F158="",G158="",H158="",I158="",J158=""),"缺必填",IF(COUNTIF($A$2:$A$201,A158)&gt;1,"ID重复",IF(COUNTIF('任务登记'!$A$2:$A$201,B158)&lt;&gt;1,"任务ID无效",IF(COUNTIF('材料'!$A$2:$A$201,C158)&lt;&gt;1,"材料ID无效",IF(INDEX('材料'!$B$2:$B$201,MATCH(C158,'材料'!$A$2:$A$201,0))&lt;&gt;INDEX('任务登记'!$B$2:$B$201,MATCH(B158,'任务登记'!$A$2:$A$201,0)),"材料与任务跨案",IF(ISERROR(SEARCH(";"&amp;C158&amp;";",";"&amp;INDEX('任务登记'!$H$2:$H$201,MATCH(B158,'任务登记'!$A$2:$A$201,0))&amp;";")),"材料不在可见清单",IF(COUNTIF('要件与标签'!$D$23:$D$29,INDEX('材料'!$H$2:$H$201,MATCH(C158,'材料'!$A$2:$A$201,0)))&lt;&gt;1,"材料阶段无效",IF(COUNTIF('要件与标签'!$D$23:$D$29,INDEX('任务登记'!$G$2:$G$201,MATCH(B158,'任务登记'!$A$2:$A$201,0)))&lt;&gt;1,"任务阶段无效",IF(MATCH(INDEX('材料'!$H$2:$H$201,MATCH(C158,'材料'!$A$2:$A$201,0)),'要件与标签'!$D$23:$D$29,0)&gt;MATCH(INDEX('任务登记'!$G$2:$G$201,MATCH(B158,'任务登记'!$A$2:$A$201,0)),'要件与标签'!$D$23:$D$29,0),"引用未来材料","字段齐备"))))))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10" t="str">
        <x:f>IF(COUNTA(A159:L159)=0,"",IF(OR(A159="",B159="",C159="",D159="",E159="",F159="",G159="",H159="",I159="",J159=""),"缺必填",IF(COUNTIF($A$2:$A$201,A159)&gt;1,"ID重复",IF(COUNTIF('任务登记'!$A$2:$A$201,B159)&lt;&gt;1,"任务ID无效",IF(COUNTIF('材料'!$A$2:$A$201,C159)&lt;&gt;1,"材料ID无效",IF(INDEX('材料'!$B$2:$B$201,MATCH(C159,'材料'!$A$2:$A$201,0))&lt;&gt;INDEX('任务登记'!$B$2:$B$201,MATCH(B159,'任务登记'!$A$2:$A$201,0)),"材料与任务跨案",IF(ISERROR(SEARCH(";"&amp;C159&amp;";",";"&amp;INDEX('任务登记'!$H$2:$H$201,MATCH(B159,'任务登记'!$A$2:$A$201,0))&amp;";")),"材料不在可见清单",IF(COUNTIF('要件与标签'!$D$23:$D$29,INDEX('材料'!$H$2:$H$201,MATCH(C159,'材料'!$A$2:$A$201,0)))&lt;&gt;1,"材料阶段无效",IF(COUNTIF('要件与标签'!$D$23:$D$29,INDEX('任务登记'!$G$2:$G$201,MATCH(B159,'任务登记'!$A$2:$A$201,0)))&lt;&gt;1,"任务阶段无效",IF(MATCH(INDEX('材料'!$H$2:$H$201,MATCH(C159,'材料'!$A$2:$A$201,0)),'要件与标签'!$D$23:$D$29,0)&gt;MATCH(INDEX('任务登记'!$G$2:$G$201,MATCH(B159,'任务登记'!$A$2:$A$201,0)),'要件与标签'!$D$23:$D$29,0),"引用未来材料","字段齐备"))))))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10" t="str">
        <x:f>IF(COUNTA(A160:L160)=0,"",IF(OR(A160="",B160="",C160="",D160="",E160="",F160="",G160="",H160="",I160="",J160=""),"缺必填",IF(COUNTIF($A$2:$A$201,A160)&gt;1,"ID重复",IF(COUNTIF('任务登记'!$A$2:$A$201,B160)&lt;&gt;1,"任务ID无效",IF(COUNTIF('材料'!$A$2:$A$201,C160)&lt;&gt;1,"材料ID无效",IF(INDEX('材料'!$B$2:$B$201,MATCH(C160,'材料'!$A$2:$A$201,0))&lt;&gt;INDEX('任务登记'!$B$2:$B$201,MATCH(B160,'任务登记'!$A$2:$A$201,0)),"材料与任务跨案",IF(ISERROR(SEARCH(";"&amp;C160&amp;";",";"&amp;INDEX('任务登记'!$H$2:$H$201,MATCH(B160,'任务登记'!$A$2:$A$201,0))&amp;";")),"材料不在可见清单",IF(COUNTIF('要件与标签'!$D$23:$D$29,INDEX('材料'!$H$2:$H$201,MATCH(C160,'材料'!$A$2:$A$201,0)))&lt;&gt;1,"材料阶段无效",IF(COUNTIF('要件与标签'!$D$23:$D$29,INDEX('任务登记'!$G$2:$G$201,MATCH(B160,'任务登记'!$A$2:$A$201,0)))&lt;&gt;1,"任务阶段无效",IF(MATCH(INDEX('材料'!$H$2:$H$201,MATCH(C160,'材料'!$A$2:$A$201,0)),'要件与标签'!$D$23:$D$29,0)&gt;MATCH(INDEX('任务登记'!$G$2:$G$201,MATCH(B160,'任务登记'!$A$2:$A$201,0)),'要件与标签'!$D$23:$D$29,0),"引用未来材料","字段齐备"))))))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10" t="str">
        <x:f>IF(COUNTA(A161:L161)=0,"",IF(OR(A161="",B161="",C161="",D161="",E161="",F161="",G161="",H161="",I161="",J161=""),"缺必填",IF(COUNTIF($A$2:$A$201,A161)&gt;1,"ID重复",IF(COUNTIF('任务登记'!$A$2:$A$201,B161)&lt;&gt;1,"任务ID无效",IF(COUNTIF('材料'!$A$2:$A$201,C161)&lt;&gt;1,"材料ID无效",IF(INDEX('材料'!$B$2:$B$201,MATCH(C161,'材料'!$A$2:$A$201,0))&lt;&gt;INDEX('任务登记'!$B$2:$B$201,MATCH(B161,'任务登记'!$A$2:$A$201,0)),"材料与任务跨案",IF(ISERROR(SEARCH(";"&amp;C161&amp;";",";"&amp;INDEX('任务登记'!$H$2:$H$201,MATCH(B161,'任务登记'!$A$2:$A$201,0))&amp;";")),"材料不在可见清单",IF(COUNTIF('要件与标签'!$D$23:$D$29,INDEX('材料'!$H$2:$H$201,MATCH(C161,'材料'!$A$2:$A$201,0)))&lt;&gt;1,"材料阶段无效",IF(COUNTIF('要件与标签'!$D$23:$D$29,INDEX('任务登记'!$G$2:$G$201,MATCH(B161,'任务登记'!$A$2:$A$201,0)))&lt;&gt;1,"任务阶段无效",IF(MATCH(INDEX('材料'!$H$2:$H$201,MATCH(C161,'材料'!$A$2:$A$201,0)),'要件与标签'!$D$23:$D$29,0)&gt;MATCH(INDEX('任务登记'!$G$2:$G$201,MATCH(B161,'任务登记'!$A$2:$A$201,0)),'要件与标签'!$D$23:$D$29,0),"引用未来材料","字段齐备"))))))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10" t="str">
        <x:f>IF(COUNTA(A162:L162)=0,"",IF(OR(A162="",B162="",C162="",D162="",E162="",F162="",G162="",H162="",I162="",J162=""),"缺必填",IF(COUNTIF($A$2:$A$201,A162)&gt;1,"ID重复",IF(COUNTIF('任务登记'!$A$2:$A$201,B162)&lt;&gt;1,"任务ID无效",IF(COUNTIF('材料'!$A$2:$A$201,C162)&lt;&gt;1,"材料ID无效",IF(INDEX('材料'!$B$2:$B$201,MATCH(C162,'材料'!$A$2:$A$201,0))&lt;&gt;INDEX('任务登记'!$B$2:$B$201,MATCH(B162,'任务登记'!$A$2:$A$201,0)),"材料与任务跨案",IF(ISERROR(SEARCH(";"&amp;C162&amp;";",";"&amp;INDEX('任务登记'!$H$2:$H$201,MATCH(B162,'任务登记'!$A$2:$A$201,0))&amp;";")),"材料不在可见清单",IF(COUNTIF('要件与标签'!$D$23:$D$29,INDEX('材料'!$H$2:$H$201,MATCH(C162,'材料'!$A$2:$A$201,0)))&lt;&gt;1,"材料阶段无效",IF(COUNTIF('要件与标签'!$D$23:$D$29,INDEX('任务登记'!$G$2:$G$201,MATCH(B162,'任务登记'!$A$2:$A$201,0)))&lt;&gt;1,"任务阶段无效",IF(MATCH(INDEX('材料'!$H$2:$H$201,MATCH(C162,'材料'!$A$2:$A$201,0)),'要件与标签'!$D$23:$D$29,0)&gt;MATCH(INDEX('任务登记'!$G$2:$G$201,MATCH(B162,'任务登记'!$A$2:$A$201,0)),'要件与标签'!$D$23:$D$29,0),"引用未来材料","字段齐备"))))))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10" t="str">
        <x:f>IF(COUNTA(A163:L163)=0,"",IF(OR(A163="",B163="",C163="",D163="",E163="",F163="",G163="",H163="",I163="",J163=""),"缺必填",IF(COUNTIF($A$2:$A$201,A163)&gt;1,"ID重复",IF(COUNTIF('任务登记'!$A$2:$A$201,B163)&lt;&gt;1,"任务ID无效",IF(COUNTIF('材料'!$A$2:$A$201,C163)&lt;&gt;1,"材料ID无效",IF(INDEX('材料'!$B$2:$B$201,MATCH(C163,'材料'!$A$2:$A$201,0))&lt;&gt;INDEX('任务登记'!$B$2:$B$201,MATCH(B163,'任务登记'!$A$2:$A$201,0)),"材料与任务跨案",IF(ISERROR(SEARCH(";"&amp;C163&amp;";",";"&amp;INDEX('任务登记'!$H$2:$H$201,MATCH(B163,'任务登记'!$A$2:$A$201,0))&amp;";")),"材料不在可见清单",IF(COUNTIF('要件与标签'!$D$23:$D$29,INDEX('材料'!$H$2:$H$201,MATCH(C163,'材料'!$A$2:$A$201,0)))&lt;&gt;1,"材料阶段无效",IF(COUNTIF('要件与标签'!$D$23:$D$29,INDEX('任务登记'!$G$2:$G$201,MATCH(B163,'任务登记'!$A$2:$A$201,0)))&lt;&gt;1,"任务阶段无效",IF(MATCH(INDEX('材料'!$H$2:$H$201,MATCH(C163,'材料'!$A$2:$A$201,0)),'要件与标签'!$D$23:$D$29,0)&gt;MATCH(INDEX('任务登记'!$G$2:$G$201,MATCH(B163,'任务登记'!$A$2:$A$201,0)),'要件与标签'!$D$23:$D$29,0),"引用未来材料","字段齐备"))))))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10" t="str">
        <x:f>IF(COUNTA(A164:L164)=0,"",IF(OR(A164="",B164="",C164="",D164="",E164="",F164="",G164="",H164="",I164="",J164=""),"缺必填",IF(COUNTIF($A$2:$A$201,A164)&gt;1,"ID重复",IF(COUNTIF('任务登记'!$A$2:$A$201,B164)&lt;&gt;1,"任务ID无效",IF(COUNTIF('材料'!$A$2:$A$201,C164)&lt;&gt;1,"材料ID无效",IF(INDEX('材料'!$B$2:$B$201,MATCH(C164,'材料'!$A$2:$A$201,0))&lt;&gt;INDEX('任务登记'!$B$2:$B$201,MATCH(B164,'任务登记'!$A$2:$A$201,0)),"材料与任务跨案",IF(ISERROR(SEARCH(";"&amp;C164&amp;";",";"&amp;INDEX('任务登记'!$H$2:$H$201,MATCH(B164,'任务登记'!$A$2:$A$201,0))&amp;";")),"材料不在可见清单",IF(COUNTIF('要件与标签'!$D$23:$D$29,INDEX('材料'!$H$2:$H$201,MATCH(C164,'材料'!$A$2:$A$201,0)))&lt;&gt;1,"材料阶段无效",IF(COUNTIF('要件与标签'!$D$23:$D$29,INDEX('任务登记'!$G$2:$G$201,MATCH(B164,'任务登记'!$A$2:$A$201,0)))&lt;&gt;1,"任务阶段无效",IF(MATCH(INDEX('材料'!$H$2:$H$201,MATCH(C164,'材料'!$A$2:$A$201,0)),'要件与标签'!$D$23:$D$29,0)&gt;MATCH(INDEX('任务登记'!$G$2:$G$201,MATCH(B164,'任务登记'!$A$2:$A$201,0)),'要件与标签'!$D$23:$D$29,0),"引用未来材料","字段齐备"))))))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10" t="str">
        <x:f>IF(COUNTA(A165:L165)=0,"",IF(OR(A165="",B165="",C165="",D165="",E165="",F165="",G165="",H165="",I165="",J165=""),"缺必填",IF(COUNTIF($A$2:$A$201,A165)&gt;1,"ID重复",IF(COUNTIF('任务登记'!$A$2:$A$201,B165)&lt;&gt;1,"任务ID无效",IF(COUNTIF('材料'!$A$2:$A$201,C165)&lt;&gt;1,"材料ID无效",IF(INDEX('材料'!$B$2:$B$201,MATCH(C165,'材料'!$A$2:$A$201,0))&lt;&gt;INDEX('任务登记'!$B$2:$B$201,MATCH(B165,'任务登记'!$A$2:$A$201,0)),"材料与任务跨案",IF(ISERROR(SEARCH(";"&amp;C165&amp;";",";"&amp;INDEX('任务登记'!$H$2:$H$201,MATCH(B165,'任务登记'!$A$2:$A$201,0))&amp;";")),"材料不在可见清单",IF(COUNTIF('要件与标签'!$D$23:$D$29,INDEX('材料'!$H$2:$H$201,MATCH(C165,'材料'!$A$2:$A$201,0)))&lt;&gt;1,"材料阶段无效",IF(COUNTIF('要件与标签'!$D$23:$D$29,INDEX('任务登记'!$G$2:$G$201,MATCH(B165,'任务登记'!$A$2:$A$201,0)))&lt;&gt;1,"任务阶段无效",IF(MATCH(INDEX('材料'!$H$2:$H$201,MATCH(C165,'材料'!$A$2:$A$201,0)),'要件与标签'!$D$23:$D$29,0)&gt;MATCH(INDEX('任务登记'!$G$2:$G$201,MATCH(B165,'任务登记'!$A$2:$A$201,0)),'要件与标签'!$D$23:$D$29,0),"引用未来材料","字段齐备"))))))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10" t="str">
        <x:f>IF(COUNTA(A166:L166)=0,"",IF(OR(A166="",B166="",C166="",D166="",E166="",F166="",G166="",H166="",I166="",J166=""),"缺必填",IF(COUNTIF($A$2:$A$201,A166)&gt;1,"ID重复",IF(COUNTIF('任务登记'!$A$2:$A$201,B166)&lt;&gt;1,"任务ID无效",IF(COUNTIF('材料'!$A$2:$A$201,C166)&lt;&gt;1,"材料ID无效",IF(INDEX('材料'!$B$2:$B$201,MATCH(C166,'材料'!$A$2:$A$201,0))&lt;&gt;INDEX('任务登记'!$B$2:$B$201,MATCH(B166,'任务登记'!$A$2:$A$201,0)),"材料与任务跨案",IF(ISERROR(SEARCH(";"&amp;C166&amp;";",";"&amp;INDEX('任务登记'!$H$2:$H$201,MATCH(B166,'任务登记'!$A$2:$A$201,0))&amp;";")),"材料不在可见清单",IF(COUNTIF('要件与标签'!$D$23:$D$29,INDEX('材料'!$H$2:$H$201,MATCH(C166,'材料'!$A$2:$A$201,0)))&lt;&gt;1,"材料阶段无效",IF(COUNTIF('要件与标签'!$D$23:$D$29,INDEX('任务登记'!$G$2:$G$201,MATCH(B166,'任务登记'!$A$2:$A$201,0)))&lt;&gt;1,"任务阶段无效",IF(MATCH(INDEX('材料'!$H$2:$H$201,MATCH(C166,'材料'!$A$2:$A$201,0)),'要件与标签'!$D$23:$D$29,0)&gt;MATCH(INDEX('任务登记'!$G$2:$G$201,MATCH(B166,'任务登记'!$A$2:$A$201,0)),'要件与标签'!$D$23:$D$29,0),"引用未来材料","字段齐备"))))))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10" t="str">
        <x:f>IF(COUNTA(A167:L167)=0,"",IF(OR(A167="",B167="",C167="",D167="",E167="",F167="",G167="",H167="",I167="",J167=""),"缺必填",IF(COUNTIF($A$2:$A$201,A167)&gt;1,"ID重复",IF(COUNTIF('任务登记'!$A$2:$A$201,B167)&lt;&gt;1,"任务ID无效",IF(COUNTIF('材料'!$A$2:$A$201,C167)&lt;&gt;1,"材料ID无效",IF(INDEX('材料'!$B$2:$B$201,MATCH(C167,'材料'!$A$2:$A$201,0))&lt;&gt;INDEX('任务登记'!$B$2:$B$201,MATCH(B167,'任务登记'!$A$2:$A$201,0)),"材料与任务跨案",IF(ISERROR(SEARCH(";"&amp;C167&amp;";",";"&amp;INDEX('任务登记'!$H$2:$H$201,MATCH(B167,'任务登记'!$A$2:$A$201,0))&amp;";")),"材料不在可见清单",IF(COUNTIF('要件与标签'!$D$23:$D$29,INDEX('材料'!$H$2:$H$201,MATCH(C167,'材料'!$A$2:$A$201,0)))&lt;&gt;1,"材料阶段无效",IF(COUNTIF('要件与标签'!$D$23:$D$29,INDEX('任务登记'!$G$2:$G$201,MATCH(B167,'任务登记'!$A$2:$A$201,0)))&lt;&gt;1,"任务阶段无效",IF(MATCH(INDEX('材料'!$H$2:$H$201,MATCH(C167,'材料'!$A$2:$A$201,0)),'要件与标签'!$D$23:$D$29,0)&gt;MATCH(INDEX('任务登记'!$G$2:$G$201,MATCH(B167,'任务登记'!$A$2:$A$201,0)),'要件与标签'!$D$23:$D$29,0),"引用未来材料","字段齐备"))))))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10" t="str">
        <x:f>IF(COUNTA(A168:L168)=0,"",IF(OR(A168="",B168="",C168="",D168="",E168="",F168="",G168="",H168="",I168="",J168=""),"缺必填",IF(COUNTIF($A$2:$A$201,A168)&gt;1,"ID重复",IF(COUNTIF('任务登记'!$A$2:$A$201,B168)&lt;&gt;1,"任务ID无效",IF(COUNTIF('材料'!$A$2:$A$201,C168)&lt;&gt;1,"材料ID无效",IF(INDEX('材料'!$B$2:$B$201,MATCH(C168,'材料'!$A$2:$A$201,0))&lt;&gt;INDEX('任务登记'!$B$2:$B$201,MATCH(B168,'任务登记'!$A$2:$A$201,0)),"材料与任务跨案",IF(ISERROR(SEARCH(";"&amp;C168&amp;";",";"&amp;INDEX('任务登记'!$H$2:$H$201,MATCH(B168,'任务登记'!$A$2:$A$201,0))&amp;";")),"材料不在可见清单",IF(COUNTIF('要件与标签'!$D$23:$D$29,INDEX('材料'!$H$2:$H$201,MATCH(C168,'材料'!$A$2:$A$201,0)))&lt;&gt;1,"材料阶段无效",IF(COUNTIF('要件与标签'!$D$23:$D$29,INDEX('任务登记'!$G$2:$G$201,MATCH(B168,'任务登记'!$A$2:$A$201,0)))&lt;&gt;1,"任务阶段无效",IF(MATCH(INDEX('材料'!$H$2:$H$201,MATCH(C168,'材料'!$A$2:$A$201,0)),'要件与标签'!$D$23:$D$29,0)&gt;MATCH(INDEX('任务登记'!$G$2:$G$201,MATCH(B168,'任务登记'!$A$2:$A$201,0)),'要件与标签'!$D$23:$D$29,0),"引用未来材料","字段齐备"))))))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10" t="str">
        <x:f>IF(COUNTA(A169:L169)=0,"",IF(OR(A169="",B169="",C169="",D169="",E169="",F169="",G169="",H169="",I169="",J169=""),"缺必填",IF(COUNTIF($A$2:$A$201,A169)&gt;1,"ID重复",IF(COUNTIF('任务登记'!$A$2:$A$201,B169)&lt;&gt;1,"任务ID无效",IF(COUNTIF('材料'!$A$2:$A$201,C169)&lt;&gt;1,"材料ID无效",IF(INDEX('材料'!$B$2:$B$201,MATCH(C169,'材料'!$A$2:$A$201,0))&lt;&gt;INDEX('任务登记'!$B$2:$B$201,MATCH(B169,'任务登记'!$A$2:$A$201,0)),"材料与任务跨案",IF(ISERROR(SEARCH(";"&amp;C169&amp;";",";"&amp;INDEX('任务登记'!$H$2:$H$201,MATCH(B169,'任务登记'!$A$2:$A$201,0))&amp;";")),"材料不在可见清单",IF(COUNTIF('要件与标签'!$D$23:$D$29,INDEX('材料'!$H$2:$H$201,MATCH(C169,'材料'!$A$2:$A$201,0)))&lt;&gt;1,"材料阶段无效",IF(COUNTIF('要件与标签'!$D$23:$D$29,INDEX('任务登记'!$G$2:$G$201,MATCH(B169,'任务登记'!$A$2:$A$201,0)))&lt;&gt;1,"任务阶段无效",IF(MATCH(INDEX('材料'!$H$2:$H$201,MATCH(C169,'材料'!$A$2:$A$201,0)),'要件与标签'!$D$23:$D$29,0)&gt;MATCH(INDEX('任务登记'!$G$2:$G$201,MATCH(B169,'任务登记'!$A$2:$A$201,0)),'要件与标签'!$D$23:$D$29,0),"引用未来材料","字段齐备"))))))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10" t="str">
        <x:f>IF(COUNTA(A170:L170)=0,"",IF(OR(A170="",B170="",C170="",D170="",E170="",F170="",G170="",H170="",I170="",J170=""),"缺必填",IF(COUNTIF($A$2:$A$201,A170)&gt;1,"ID重复",IF(COUNTIF('任务登记'!$A$2:$A$201,B170)&lt;&gt;1,"任务ID无效",IF(COUNTIF('材料'!$A$2:$A$201,C170)&lt;&gt;1,"材料ID无效",IF(INDEX('材料'!$B$2:$B$201,MATCH(C170,'材料'!$A$2:$A$201,0))&lt;&gt;INDEX('任务登记'!$B$2:$B$201,MATCH(B170,'任务登记'!$A$2:$A$201,0)),"材料与任务跨案",IF(ISERROR(SEARCH(";"&amp;C170&amp;";",";"&amp;INDEX('任务登记'!$H$2:$H$201,MATCH(B170,'任务登记'!$A$2:$A$201,0))&amp;";")),"材料不在可见清单",IF(COUNTIF('要件与标签'!$D$23:$D$29,INDEX('材料'!$H$2:$H$201,MATCH(C170,'材料'!$A$2:$A$201,0)))&lt;&gt;1,"材料阶段无效",IF(COUNTIF('要件与标签'!$D$23:$D$29,INDEX('任务登记'!$G$2:$G$201,MATCH(B170,'任务登记'!$A$2:$A$201,0)))&lt;&gt;1,"任务阶段无效",IF(MATCH(INDEX('材料'!$H$2:$H$201,MATCH(C170,'材料'!$A$2:$A$201,0)),'要件与标签'!$D$23:$D$29,0)&gt;MATCH(INDEX('任务登记'!$G$2:$G$201,MATCH(B170,'任务登记'!$A$2:$A$201,0)),'要件与标签'!$D$23:$D$29,0),"引用未来材料","字段齐备"))))))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10" t="str">
        <x:f>IF(COUNTA(A171:L171)=0,"",IF(OR(A171="",B171="",C171="",D171="",E171="",F171="",G171="",H171="",I171="",J171=""),"缺必填",IF(COUNTIF($A$2:$A$201,A171)&gt;1,"ID重复",IF(COUNTIF('任务登记'!$A$2:$A$201,B171)&lt;&gt;1,"任务ID无效",IF(COUNTIF('材料'!$A$2:$A$201,C171)&lt;&gt;1,"材料ID无效",IF(INDEX('材料'!$B$2:$B$201,MATCH(C171,'材料'!$A$2:$A$201,0))&lt;&gt;INDEX('任务登记'!$B$2:$B$201,MATCH(B171,'任务登记'!$A$2:$A$201,0)),"材料与任务跨案",IF(ISERROR(SEARCH(";"&amp;C171&amp;";",";"&amp;INDEX('任务登记'!$H$2:$H$201,MATCH(B171,'任务登记'!$A$2:$A$201,0))&amp;";")),"材料不在可见清单",IF(COUNTIF('要件与标签'!$D$23:$D$29,INDEX('材料'!$H$2:$H$201,MATCH(C171,'材料'!$A$2:$A$201,0)))&lt;&gt;1,"材料阶段无效",IF(COUNTIF('要件与标签'!$D$23:$D$29,INDEX('任务登记'!$G$2:$G$201,MATCH(B171,'任务登记'!$A$2:$A$201,0)))&lt;&gt;1,"任务阶段无效",IF(MATCH(INDEX('材料'!$H$2:$H$201,MATCH(C171,'材料'!$A$2:$A$201,0)),'要件与标签'!$D$23:$D$29,0)&gt;MATCH(INDEX('任务登记'!$G$2:$G$201,MATCH(B171,'任务登记'!$A$2:$A$201,0)),'要件与标签'!$D$23:$D$29,0),"引用未来材料","字段齐备"))))))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10" t="str">
        <x:f>IF(COUNTA(A172:L172)=0,"",IF(OR(A172="",B172="",C172="",D172="",E172="",F172="",G172="",H172="",I172="",J172=""),"缺必填",IF(COUNTIF($A$2:$A$201,A172)&gt;1,"ID重复",IF(COUNTIF('任务登记'!$A$2:$A$201,B172)&lt;&gt;1,"任务ID无效",IF(COUNTIF('材料'!$A$2:$A$201,C172)&lt;&gt;1,"材料ID无效",IF(INDEX('材料'!$B$2:$B$201,MATCH(C172,'材料'!$A$2:$A$201,0))&lt;&gt;INDEX('任务登记'!$B$2:$B$201,MATCH(B172,'任务登记'!$A$2:$A$201,0)),"材料与任务跨案",IF(ISERROR(SEARCH(";"&amp;C172&amp;";",";"&amp;INDEX('任务登记'!$H$2:$H$201,MATCH(B172,'任务登记'!$A$2:$A$201,0))&amp;";")),"材料不在可见清单",IF(COUNTIF('要件与标签'!$D$23:$D$29,INDEX('材料'!$H$2:$H$201,MATCH(C172,'材料'!$A$2:$A$201,0)))&lt;&gt;1,"材料阶段无效",IF(COUNTIF('要件与标签'!$D$23:$D$29,INDEX('任务登记'!$G$2:$G$201,MATCH(B172,'任务登记'!$A$2:$A$201,0)))&lt;&gt;1,"任务阶段无效",IF(MATCH(INDEX('材料'!$H$2:$H$201,MATCH(C172,'材料'!$A$2:$A$201,0)),'要件与标签'!$D$23:$D$29,0)&gt;MATCH(INDEX('任务登记'!$G$2:$G$201,MATCH(B172,'任务登记'!$A$2:$A$201,0)),'要件与标签'!$D$23:$D$29,0),"引用未来材料","字段齐备"))))))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10" t="str">
        <x:f>IF(COUNTA(A173:L173)=0,"",IF(OR(A173="",B173="",C173="",D173="",E173="",F173="",G173="",H173="",I173="",J173=""),"缺必填",IF(COUNTIF($A$2:$A$201,A173)&gt;1,"ID重复",IF(COUNTIF('任务登记'!$A$2:$A$201,B173)&lt;&gt;1,"任务ID无效",IF(COUNTIF('材料'!$A$2:$A$201,C173)&lt;&gt;1,"材料ID无效",IF(INDEX('材料'!$B$2:$B$201,MATCH(C173,'材料'!$A$2:$A$201,0))&lt;&gt;INDEX('任务登记'!$B$2:$B$201,MATCH(B173,'任务登记'!$A$2:$A$201,0)),"材料与任务跨案",IF(ISERROR(SEARCH(";"&amp;C173&amp;";",";"&amp;INDEX('任务登记'!$H$2:$H$201,MATCH(B173,'任务登记'!$A$2:$A$201,0))&amp;";")),"材料不在可见清单",IF(COUNTIF('要件与标签'!$D$23:$D$29,INDEX('材料'!$H$2:$H$201,MATCH(C173,'材料'!$A$2:$A$201,0)))&lt;&gt;1,"材料阶段无效",IF(COUNTIF('要件与标签'!$D$23:$D$29,INDEX('任务登记'!$G$2:$G$201,MATCH(B173,'任务登记'!$A$2:$A$201,0)))&lt;&gt;1,"任务阶段无效",IF(MATCH(INDEX('材料'!$H$2:$H$201,MATCH(C173,'材料'!$A$2:$A$201,0)),'要件与标签'!$D$23:$D$29,0)&gt;MATCH(INDEX('任务登记'!$G$2:$G$201,MATCH(B173,'任务登记'!$A$2:$A$201,0)),'要件与标签'!$D$23:$D$29,0),"引用未来材料","字段齐备"))))))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10" t="str">
        <x:f>IF(COUNTA(A174:L174)=0,"",IF(OR(A174="",B174="",C174="",D174="",E174="",F174="",G174="",H174="",I174="",J174=""),"缺必填",IF(COUNTIF($A$2:$A$201,A174)&gt;1,"ID重复",IF(COUNTIF('任务登记'!$A$2:$A$201,B174)&lt;&gt;1,"任务ID无效",IF(COUNTIF('材料'!$A$2:$A$201,C174)&lt;&gt;1,"材料ID无效",IF(INDEX('材料'!$B$2:$B$201,MATCH(C174,'材料'!$A$2:$A$201,0))&lt;&gt;INDEX('任务登记'!$B$2:$B$201,MATCH(B174,'任务登记'!$A$2:$A$201,0)),"材料与任务跨案",IF(ISERROR(SEARCH(";"&amp;C174&amp;";",";"&amp;INDEX('任务登记'!$H$2:$H$201,MATCH(B174,'任务登记'!$A$2:$A$201,0))&amp;";")),"材料不在可见清单",IF(COUNTIF('要件与标签'!$D$23:$D$29,INDEX('材料'!$H$2:$H$201,MATCH(C174,'材料'!$A$2:$A$201,0)))&lt;&gt;1,"材料阶段无效",IF(COUNTIF('要件与标签'!$D$23:$D$29,INDEX('任务登记'!$G$2:$G$201,MATCH(B174,'任务登记'!$A$2:$A$201,0)))&lt;&gt;1,"任务阶段无效",IF(MATCH(INDEX('材料'!$H$2:$H$201,MATCH(C174,'材料'!$A$2:$A$201,0)),'要件与标签'!$D$23:$D$29,0)&gt;MATCH(INDEX('任务登记'!$G$2:$G$201,MATCH(B174,'任务登记'!$A$2:$A$201,0)),'要件与标签'!$D$23:$D$29,0),"引用未来材料","字段齐备"))))))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10" t="str">
        <x:f>IF(COUNTA(A175:L175)=0,"",IF(OR(A175="",B175="",C175="",D175="",E175="",F175="",G175="",H175="",I175="",J175=""),"缺必填",IF(COUNTIF($A$2:$A$201,A175)&gt;1,"ID重复",IF(COUNTIF('任务登记'!$A$2:$A$201,B175)&lt;&gt;1,"任务ID无效",IF(COUNTIF('材料'!$A$2:$A$201,C175)&lt;&gt;1,"材料ID无效",IF(INDEX('材料'!$B$2:$B$201,MATCH(C175,'材料'!$A$2:$A$201,0))&lt;&gt;INDEX('任务登记'!$B$2:$B$201,MATCH(B175,'任务登记'!$A$2:$A$201,0)),"材料与任务跨案",IF(ISERROR(SEARCH(";"&amp;C175&amp;";",";"&amp;INDEX('任务登记'!$H$2:$H$201,MATCH(B175,'任务登记'!$A$2:$A$201,0))&amp;";")),"材料不在可见清单",IF(COUNTIF('要件与标签'!$D$23:$D$29,INDEX('材料'!$H$2:$H$201,MATCH(C175,'材料'!$A$2:$A$201,0)))&lt;&gt;1,"材料阶段无效",IF(COUNTIF('要件与标签'!$D$23:$D$29,INDEX('任务登记'!$G$2:$G$201,MATCH(B175,'任务登记'!$A$2:$A$201,0)))&lt;&gt;1,"任务阶段无效",IF(MATCH(INDEX('材料'!$H$2:$H$201,MATCH(C175,'材料'!$A$2:$A$201,0)),'要件与标签'!$D$23:$D$29,0)&gt;MATCH(INDEX('任务登记'!$G$2:$G$201,MATCH(B175,'任务登记'!$A$2:$A$201,0)),'要件与标签'!$D$23:$D$29,0),"引用未来材料","字段齐备"))))))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10" t="str">
        <x:f>IF(COUNTA(A176:L176)=0,"",IF(OR(A176="",B176="",C176="",D176="",E176="",F176="",G176="",H176="",I176="",J176=""),"缺必填",IF(COUNTIF($A$2:$A$201,A176)&gt;1,"ID重复",IF(COUNTIF('任务登记'!$A$2:$A$201,B176)&lt;&gt;1,"任务ID无效",IF(COUNTIF('材料'!$A$2:$A$201,C176)&lt;&gt;1,"材料ID无效",IF(INDEX('材料'!$B$2:$B$201,MATCH(C176,'材料'!$A$2:$A$201,0))&lt;&gt;INDEX('任务登记'!$B$2:$B$201,MATCH(B176,'任务登记'!$A$2:$A$201,0)),"材料与任务跨案",IF(ISERROR(SEARCH(";"&amp;C176&amp;";",";"&amp;INDEX('任务登记'!$H$2:$H$201,MATCH(B176,'任务登记'!$A$2:$A$201,0))&amp;";")),"材料不在可见清单",IF(COUNTIF('要件与标签'!$D$23:$D$29,INDEX('材料'!$H$2:$H$201,MATCH(C176,'材料'!$A$2:$A$201,0)))&lt;&gt;1,"材料阶段无效",IF(COUNTIF('要件与标签'!$D$23:$D$29,INDEX('任务登记'!$G$2:$G$201,MATCH(B176,'任务登记'!$A$2:$A$201,0)))&lt;&gt;1,"任务阶段无效",IF(MATCH(INDEX('材料'!$H$2:$H$201,MATCH(C176,'材料'!$A$2:$A$201,0)),'要件与标签'!$D$23:$D$29,0)&gt;MATCH(INDEX('任务登记'!$G$2:$G$201,MATCH(B176,'任务登记'!$A$2:$A$201,0)),'要件与标签'!$D$23:$D$29,0),"引用未来材料","字段齐备"))))))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10" t="str">
        <x:f>IF(COUNTA(A177:L177)=0,"",IF(OR(A177="",B177="",C177="",D177="",E177="",F177="",G177="",H177="",I177="",J177=""),"缺必填",IF(COUNTIF($A$2:$A$201,A177)&gt;1,"ID重复",IF(COUNTIF('任务登记'!$A$2:$A$201,B177)&lt;&gt;1,"任务ID无效",IF(COUNTIF('材料'!$A$2:$A$201,C177)&lt;&gt;1,"材料ID无效",IF(INDEX('材料'!$B$2:$B$201,MATCH(C177,'材料'!$A$2:$A$201,0))&lt;&gt;INDEX('任务登记'!$B$2:$B$201,MATCH(B177,'任务登记'!$A$2:$A$201,0)),"材料与任务跨案",IF(ISERROR(SEARCH(";"&amp;C177&amp;";",";"&amp;INDEX('任务登记'!$H$2:$H$201,MATCH(B177,'任务登记'!$A$2:$A$201,0))&amp;";")),"材料不在可见清单",IF(COUNTIF('要件与标签'!$D$23:$D$29,INDEX('材料'!$H$2:$H$201,MATCH(C177,'材料'!$A$2:$A$201,0)))&lt;&gt;1,"材料阶段无效",IF(COUNTIF('要件与标签'!$D$23:$D$29,INDEX('任务登记'!$G$2:$G$201,MATCH(B177,'任务登记'!$A$2:$A$201,0)))&lt;&gt;1,"任务阶段无效",IF(MATCH(INDEX('材料'!$H$2:$H$201,MATCH(C177,'材料'!$A$2:$A$201,0)),'要件与标签'!$D$23:$D$29,0)&gt;MATCH(INDEX('任务登记'!$G$2:$G$201,MATCH(B177,'任务登记'!$A$2:$A$201,0)),'要件与标签'!$D$23:$D$29,0),"引用未来材料","字段齐备"))))))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10" t="str">
        <x:f>IF(COUNTA(A178:L178)=0,"",IF(OR(A178="",B178="",C178="",D178="",E178="",F178="",G178="",H178="",I178="",J178=""),"缺必填",IF(COUNTIF($A$2:$A$201,A178)&gt;1,"ID重复",IF(COUNTIF('任务登记'!$A$2:$A$201,B178)&lt;&gt;1,"任务ID无效",IF(COUNTIF('材料'!$A$2:$A$201,C178)&lt;&gt;1,"材料ID无效",IF(INDEX('材料'!$B$2:$B$201,MATCH(C178,'材料'!$A$2:$A$201,0))&lt;&gt;INDEX('任务登记'!$B$2:$B$201,MATCH(B178,'任务登记'!$A$2:$A$201,0)),"材料与任务跨案",IF(ISERROR(SEARCH(";"&amp;C178&amp;";",";"&amp;INDEX('任务登记'!$H$2:$H$201,MATCH(B178,'任务登记'!$A$2:$A$201,0))&amp;";")),"材料不在可见清单",IF(COUNTIF('要件与标签'!$D$23:$D$29,INDEX('材料'!$H$2:$H$201,MATCH(C178,'材料'!$A$2:$A$201,0)))&lt;&gt;1,"材料阶段无效",IF(COUNTIF('要件与标签'!$D$23:$D$29,INDEX('任务登记'!$G$2:$G$201,MATCH(B178,'任务登记'!$A$2:$A$201,0)))&lt;&gt;1,"任务阶段无效",IF(MATCH(INDEX('材料'!$H$2:$H$201,MATCH(C178,'材料'!$A$2:$A$201,0)),'要件与标签'!$D$23:$D$29,0)&gt;MATCH(INDEX('任务登记'!$G$2:$G$201,MATCH(B178,'任务登记'!$A$2:$A$201,0)),'要件与标签'!$D$23:$D$29,0),"引用未来材料","字段齐备"))))))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10" t="str">
        <x:f>IF(COUNTA(A179:L179)=0,"",IF(OR(A179="",B179="",C179="",D179="",E179="",F179="",G179="",H179="",I179="",J179=""),"缺必填",IF(COUNTIF($A$2:$A$201,A179)&gt;1,"ID重复",IF(COUNTIF('任务登记'!$A$2:$A$201,B179)&lt;&gt;1,"任务ID无效",IF(COUNTIF('材料'!$A$2:$A$201,C179)&lt;&gt;1,"材料ID无效",IF(INDEX('材料'!$B$2:$B$201,MATCH(C179,'材料'!$A$2:$A$201,0))&lt;&gt;INDEX('任务登记'!$B$2:$B$201,MATCH(B179,'任务登记'!$A$2:$A$201,0)),"材料与任务跨案",IF(ISERROR(SEARCH(";"&amp;C179&amp;";",";"&amp;INDEX('任务登记'!$H$2:$H$201,MATCH(B179,'任务登记'!$A$2:$A$201,0))&amp;";")),"材料不在可见清单",IF(COUNTIF('要件与标签'!$D$23:$D$29,INDEX('材料'!$H$2:$H$201,MATCH(C179,'材料'!$A$2:$A$201,0)))&lt;&gt;1,"材料阶段无效",IF(COUNTIF('要件与标签'!$D$23:$D$29,INDEX('任务登记'!$G$2:$G$201,MATCH(B179,'任务登记'!$A$2:$A$201,0)))&lt;&gt;1,"任务阶段无效",IF(MATCH(INDEX('材料'!$H$2:$H$201,MATCH(C179,'材料'!$A$2:$A$201,0)),'要件与标签'!$D$23:$D$29,0)&gt;MATCH(INDEX('任务登记'!$G$2:$G$201,MATCH(B179,'任务登记'!$A$2:$A$201,0)),'要件与标签'!$D$23:$D$29,0),"引用未来材料","字段齐备"))))))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10" t="str">
        <x:f>IF(COUNTA(A180:L180)=0,"",IF(OR(A180="",B180="",C180="",D180="",E180="",F180="",G180="",H180="",I180="",J180=""),"缺必填",IF(COUNTIF($A$2:$A$201,A180)&gt;1,"ID重复",IF(COUNTIF('任务登记'!$A$2:$A$201,B180)&lt;&gt;1,"任务ID无效",IF(COUNTIF('材料'!$A$2:$A$201,C180)&lt;&gt;1,"材料ID无效",IF(INDEX('材料'!$B$2:$B$201,MATCH(C180,'材料'!$A$2:$A$201,0))&lt;&gt;INDEX('任务登记'!$B$2:$B$201,MATCH(B180,'任务登记'!$A$2:$A$201,0)),"材料与任务跨案",IF(ISERROR(SEARCH(";"&amp;C180&amp;";",";"&amp;INDEX('任务登记'!$H$2:$H$201,MATCH(B180,'任务登记'!$A$2:$A$201,0))&amp;";")),"材料不在可见清单",IF(COUNTIF('要件与标签'!$D$23:$D$29,INDEX('材料'!$H$2:$H$201,MATCH(C180,'材料'!$A$2:$A$201,0)))&lt;&gt;1,"材料阶段无效",IF(COUNTIF('要件与标签'!$D$23:$D$29,INDEX('任务登记'!$G$2:$G$201,MATCH(B180,'任务登记'!$A$2:$A$201,0)))&lt;&gt;1,"任务阶段无效",IF(MATCH(INDEX('材料'!$H$2:$H$201,MATCH(C180,'材料'!$A$2:$A$201,0)),'要件与标签'!$D$23:$D$29,0)&gt;MATCH(INDEX('任务登记'!$G$2:$G$201,MATCH(B180,'任务登记'!$A$2:$A$201,0)),'要件与标签'!$D$23:$D$29,0),"引用未来材料","字段齐备"))))))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10" t="str">
        <x:f>IF(COUNTA(A181:L181)=0,"",IF(OR(A181="",B181="",C181="",D181="",E181="",F181="",G181="",H181="",I181="",J181=""),"缺必填",IF(COUNTIF($A$2:$A$201,A181)&gt;1,"ID重复",IF(COUNTIF('任务登记'!$A$2:$A$201,B181)&lt;&gt;1,"任务ID无效",IF(COUNTIF('材料'!$A$2:$A$201,C181)&lt;&gt;1,"材料ID无效",IF(INDEX('材料'!$B$2:$B$201,MATCH(C181,'材料'!$A$2:$A$201,0))&lt;&gt;INDEX('任务登记'!$B$2:$B$201,MATCH(B181,'任务登记'!$A$2:$A$201,0)),"材料与任务跨案",IF(ISERROR(SEARCH(";"&amp;C181&amp;";",";"&amp;INDEX('任务登记'!$H$2:$H$201,MATCH(B181,'任务登记'!$A$2:$A$201,0))&amp;";")),"材料不在可见清单",IF(COUNTIF('要件与标签'!$D$23:$D$29,INDEX('材料'!$H$2:$H$201,MATCH(C181,'材料'!$A$2:$A$201,0)))&lt;&gt;1,"材料阶段无效",IF(COUNTIF('要件与标签'!$D$23:$D$29,INDEX('任务登记'!$G$2:$G$201,MATCH(B181,'任务登记'!$A$2:$A$201,0)))&lt;&gt;1,"任务阶段无效",IF(MATCH(INDEX('材料'!$H$2:$H$201,MATCH(C181,'材料'!$A$2:$A$201,0)),'要件与标签'!$D$23:$D$29,0)&gt;MATCH(INDEX('任务登记'!$G$2:$G$201,MATCH(B181,'任务登记'!$A$2:$A$201,0)),'要件与标签'!$D$23:$D$29,0),"引用未来材料","字段齐备"))))))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10" t="str">
        <x:f>IF(COUNTA(A182:L182)=0,"",IF(OR(A182="",B182="",C182="",D182="",E182="",F182="",G182="",H182="",I182="",J182=""),"缺必填",IF(COUNTIF($A$2:$A$201,A182)&gt;1,"ID重复",IF(COUNTIF('任务登记'!$A$2:$A$201,B182)&lt;&gt;1,"任务ID无效",IF(COUNTIF('材料'!$A$2:$A$201,C182)&lt;&gt;1,"材料ID无效",IF(INDEX('材料'!$B$2:$B$201,MATCH(C182,'材料'!$A$2:$A$201,0))&lt;&gt;INDEX('任务登记'!$B$2:$B$201,MATCH(B182,'任务登记'!$A$2:$A$201,0)),"材料与任务跨案",IF(ISERROR(SEARCH(";"&amp;C182&amp;";",";"&amp;INDEX('任务登记'!$H$2:$H$201,MATCH(B182,'任务登记'!$A$2:$A$201,0))&amp;";")),"材料不在可见清单",IF(COUNTIF('要件与标签'!$D$23:$D$29,INDEX('材料'!$H$2:$H$201,MATCH(C182,'材料'!$A$2:$A$201,0)))&lt;&gt;1,"材料阶段无效",IF(COUNTIF('要件与标签'!$D$23:$D$29,INDEX('任务登记'!$G$2:$G$201,MATCH(B182,'任务登记'!$A$2:$A$201,0)))&lt;&gt;1,"任务阶段无效",IF(MATCH(INDEX('材料'!$H$2:$H$201,MATCH(C182,'材料'!$A$2:$A$201,0)),'要件与标签'!$D$23:$D$29,0)&gt;MATCH(INDEX('任务登记'!$G$2:$G$201,MATCH(B182,'任务登记'!$A$2:$A$201,0)),'要件与标签'!$D$23:$D$29,0),"引用未来材料","字段齐备"))))))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10" t="str">
        <x:f>IF(COUNTA(A183:L183)=0,"",IF(OR(A183="",B183="",C183="",D183="",E183="",F183="",G183="",H183="",I183="",J183=""),"缺必填",IF(COUNTIF($A$2:$A$201,A183)&gt;1,"ID重复",IF(COUNTIF('任务登记'!$A$2:$A$201,B183)&lt;&gt;1,"任务ID无效",IF(COUNTIF('材料'!$A$2:$A$201,C183)&lt;&gt;1,"材料ID无效",IF(INDEX('材料'!$B$2:$B$201,MATCH(C183,'材料'!$A$2:$A$201,0))&lt;&gt;INDEX('任务登记'!$B$2:$B$201,MATCH(B183,'任务登记'!$A$2:$A$201,0)),"材料与任务跨案",IF(ISERROR(SEARCH(";"&amp;C183&amp;";",";"&amp;INDEX('任务登记'!$H$2:$H$201,MATCH(B183,'任务登记'!$A$2:$A$201,0))&amp;";")),"材料不在可见清单",IF(COUNTIF('要件与标签'!$D$23:$D$29,INDEX('材料'!$H$2:$H$201,MATCH(C183,'材料'!$A$2:$A$201,0)))&lt;&gt;1,"材料阶段无效",IF(COUNTIF('要件与标签'!$D$23:$D$29,INDEX('任务登记'!$G$2:$G$201,MATCH(B183,'任务登记'!$A$2:$A$201,0)))&lt;&gt;1,"任务阶段无效",IF(MATCH(INDEX('材料'!$H$2:$H$201,MATCH(C183,'材料'!$A$2:$A$201,0)),'要件与标签'!$D$23:$D$29,0)&gt;MATCH(INDEX('任务登记'!$G$2:$G$201,MATCH(B183,'任务登记'!$A$2:$A$201,0)),'要件与标签'!$D$23:$D$29,0),"引用未来材料","字段齐备"))))))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10" t="str">
        <x:f>IF(COUNTA(A184:L184)=0,"",IF(OR(A184="",B184="",C184="",D184="",E184="",F184="",G184="",H184="",I184="",J184=""),"缺必填",IF(COUNTIF($A$2:$A$201,A184)&gt;1,"ID重复",IF(COUNTIF('任务登记'!$A$2:$A$201,B184)&lt;&gt;1,"任务ID无效",IF(COUNTIF('材料'!$A$2:$A$201,C184)&lt;&gt;1,"材料ID无效",IF(INDEX('材料'!$B$2:$B$201,MATCH(C184,'材料'!$A$2:$A$201,0))&lt;&gt;INDEX('任务登记'!$B$2:$B$201,MATCH(B184,'任务登记'!$A$2:$A$201,0)),"材料与任务跨案",IF(ISERROR(SEARCH(";"&amp;C184&amp;";",";"&amp;INDEX('任务登记'!$H$2:$H$201,MATCH(B184,'任务登记'!$A$2:$A$201,0))&amp;";")),"材料不在可见清单",IF(COUNTIF('要件与标签'!$D$23:$D$29,INDEX('材料'!$H$2:$H$201,MATCH(C184,'材料'!$A$2:$A$201,0)))&lt;&gt;1,"材料阶段无效",IF(COUNTIF('要件与标签'!$D$23:$D$29,INDEX('任务登记'!$G$2:$G$201,MATCH(B184,'任务登记'!$A$2:$A$201,0)))&lt;&gt;1,"任务阶段无效",IF(MATCH(INDEX('材料'!$H$2:$H$201,MATCH(C184,'材料'!$A$2:$A$201,0)),'要件与标签'!$D$23:$D$29,0)&gt;MATCH(INDEX('任务登记'!$G$2:$G$201,MATCH(B184,'任务登记'!$A$2:$A$201,0)),'要件与标签'!$D$23:$D$29,0),"引用未来材料","字段齐备"))))))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10" t="str">
        <x:f>IF(COUNTA(A185:L185)=0,"",IF(OR(A185="",B185="",C185="",D185="",E185="",F185="",G185="",H185="",I185="",J185=""),"缺必填",IF(COUNTIF($A$2:$A$201,A185)&gt;1,"ID重复",IF(COUNTIF('任务登记'!$A$2:$A$201,B185)&lt;&gt;1,"任务ID无效",IF(COUNTIF('材料'!$A$2:$A$201,C185)&lt;&gt;1,"材料ID无效",IF(INDEX('材料'!$B$2:$B$201,MATCH(C185,'材料'!$A$2:$A$201,0))&lt;&gt;INDEX('任务登记'!$B$2:$B$201,MATCH(B185,'任务登记'!$A$2:$A$201,0)),"材料与任务跨案",IF(ISERROR(SEARCH(";"&amp;C185&amp;";",";"&amp;INDEX('任务登记'!$H$2:$H$201,MATCH(B185,'任务登记'!$A$2:$A$201,0))&amp;";")),"材料不在可见清单",IF(COUNTIF('要件与标签'!$D$23:$D$29,INDEX('材料'!$H$2:$H$201,MATCH(C185,'材料'!$A$2:$A$201,0)))&lt;&gt;1,"材料阶段无效",IF(COUNTIF('要件与标签'!$D$23:$D$29,INDEX('任务登记'!$G$2:$G$201,MATCH(B185,'任务登记'!$A$2:$A$201,0)))&lt;&gt;1,"任务阶段无效",IF(MATCH(INDEX('材料'!$H$2:$H$201,MATCH(C185,'材料'!$A$2:$A$201,0)),'要件与标签'!$D$23:$D$29,0)&gt;MATCH(INDEX('任务登记'!$G$2:$G$201,MATCH(B185,'任务登记'!$A$2:$A$201,0)),'要件与标签'!$D$23:$D$29,0),"引用未来材料","字段齐备"))))))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10" t="str">
        <x:f>IF(COUNTA(A186:L186)=0,"",IF(OR(A186="",B186="",C186="",D186="",E186="",F186="",G186="",H186="",I186="",J186=""),"缺必填",IF(COUNTIF($A$2:$A$201,A186)&gt;1,"ID重复",IF(COUNTIF('任务登记'!$A$2:$A$201,B186)&lt;&gt;1,"任务ID无效",IF(COUNTIF('材料'!$A$2:$A$201,C186)&lt;&gt;1,"材料ID无效",IF(INDEX('材料'!$B$2:$B$201,MATCH(C186,'材料'!$A$2:$A$201,0))&lt;&gt;INDEX('任务登记'!$B$2:$B$201,MATCH(B186,'任务登记'!$A$2:$A$201,0)),"材料与任务跨案",IF(ISERROR(SEARCH(";"&amp;C186&amp;";",";"&amp;INDEX('任务登记'!$H$2:$H$201,MATCH(B186,'任务登记'!$A$2:$A$201,0))&amp;";")),"材料不在可见清单",IF(COUNTIF('要件与标签'!$D$23:$D$29,INDEX('材料'!$H$2:$H$201,MATCH(C186,'材料'!$A$2:$A$201,0)))&lt;&gt;1,"材料阶段无效",IF(COUNTIF('要件与标签'!$D$23:$D$29,INDEX('任务登记'!$G$2:$G$201,MATCH(B186,'任务登记'!$A$2:$A$201,0)))&lt;&gt;1,"任务阶段无效",IF(MATCH(INDEX('材料'!$H$2:$H$201,MATCH(C186,'材料'!$A$2:$A$201,0)),'要件与标签'!$D$23:$D$29,0)&gt;MATCH(INDEX('任务登记'!$G$2:$G$201,MATCH(B186,'任务登记'!$A$2:$A$201,0)),'要件与标签'!$D$23:$D$29,0),"引用未来材料","字段齐备"))))))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10" t="str">
        <x:f>IF(COUNTA(A187:L187)=0,"",IF(OR(A187="",B187="",C187="",D187="",E187="",F187="",G187="",H187="",I187="",J187=""),"缺必填",IF(COUNTIF($A$2:$A$201,A187)&gt;1,"ID重复",IF(COUNTIF('任务登记'!$A$2:$A$201,B187)&lt;&gt;1,"任务ID无效",IF(COUNTIF('材料'!$A$2:$A$201,C187)&lt;&gt;1,"材料ID无效",IF(INDEX('材料'!$B$2:$B$201,MATCH(C187,'材料'!$A$2:$A$201,0))&lt;&gt;INDEX('任务登记'!$B$2:$B$201,MATCH(B187,'任务登记'!$A$2:$A$201,0)),"材料与任务跨案",IF(ISERROR(SEARCH(";"&amp;C187&amp;";",";"&amp;INDEX('任务登记'!$H$2:$H$201,MATCH(B187,'任务登记'!$A$2:$A$201,0))&amp;";")),"材料不在可见清单",IF(COUNTIF('要件与标签'!$D$23:$D$29,INDEX('材料'!$H$2:$H$201,MATCH(C187,'材料'!$A$2:$A$201,0)))&lt;&gt;1,"材料阶段无效",IF(COUNTIF('要件与标签'!$D$23:$D$29,INDEX('任务登记'!$G$2:$G$201,MATCH(B187,'任务登记'!$A$2:$A$201,0)))&lt;&gt;1,"任务阶段无效",IF(MATCH(INDEX('材料'!$H$2:$H$201,MATCH(C187,'材料'!$A$2:$A$201,0)),'要件与标签'!$D$23:$D$29,0)&gt;MATCH(INDEX('任务登记'!$G$2:$G$201,MATCH(B187,'任务登记'!$A$2:$A$201,0)),'要件与标签'!$D$23:$D$29,0),"引用未来材料","字段齐备"))))))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10" t="str">
        <x:f>IF(COUNTA(A188:L188)=0,"",IF(OR(A188="",B188="",C188="",D188="",E188="",F188="",G188="",H188="",I188="",J188=""),"缺必填",IF(COUNTIF($A$2:$A$201,A188)&gt;1,"ID重复",IF(COUNTIF('任务登记'!$A$2:$A$201,B188)&lt;&gt;1,"任务ID无效",IF(COUNTIF('材料'!$A$2:$A$201,C188)&lt;&gt;1,"材料ID无效",IF(INDEX('材料'!$B$2:$B$201,MATCH(C188,'材料'!$A$2:$A$201,0))&lt;&gt;INDEX('任务登记'!$B$2:$B$201,MATCH(B188,'任务登记'!$A$2:$A$201,0)),"材料与任务跨案",IF(ISERROR(SEARCH(";"&amp;C188&amp;";",";"&amp;INDEX('任务登记'!$H$2:$H$201,MATCH(B188,'任务登记'!$A$2:$A$201,0))&amp;";")),"材料不在可见清单",IF(COUNTIF('要件与标签'!$D$23:$D$29,INDEX('材料'!$H$2:$H$201,MATCH(C188,'材料'!$A$2:$A$201,0)))&lt;&gt;1,"材料阶段无效",IF(COUNTIF('要件与标签'!$D$23:$D$29,INDEX('任务登记'!$G$2:$G$201,MATCH(B188,'任务登记'!$A$2:$A$201,0)))&lt;&gt;1,"任务阶段无效",IF(MATCH(INDEX('材料'!$H$2:$H$201,MATCH(C188,'材料'!$A$2:$A$201,0)),'要件与标签'!$D$23:$D$29,0)&gt;MATCH(INDEX('任务登记'!$G$2:$G$201,MATCH(B188,'任务登记'!$A$2:$A$201,0)),'要件与标签'!$D$23:$D$29,0),"引用未来材料","字段齐备"))))))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10" t="str">
        <x:f>IF(COUNTA(A189:L189)=0,"",IF(OR(A189="",B189="",C189="",D189="",E189="",F189="",G189="",H189="",I189="",J189=""),"缺必填",IF(COUNTIF($A$2:$A$201,A189)&gt;1,"ID重复",IF(COUNTIF('任务登记'!$A$2:$A$201,B189)&lt;&gt;1,"任务ID无效",IF(COUNTIF('材料'!$A$2:$A$201,C189)&lt;&gt;1,"材料ID无效",IF(INDEX('材料'!$B$2:$B$201,MATCH(C189,'材料'!$A$2:$A$201,0))&lt;&gt;INDEX('任务登记'!$B$2:$B$201,MATCH(B189,'任务登记'!$A$2:$A$201,0)),"材料与任务跨案",IF(ISERROR(SEARCH(";"&amp;C189&amp;";",";"&amp;INDEX('任务登记'!$H$2:$H$201,MATCH(B189,'任务登记'!$A$2:$A$201,0))&amp;";")),"材料不在可见清单",IF(COUNTIF('要件与标签'!$D$23:$D$29,INDEX('材料'!$H$2:$H$201,MATCH(C189,'材料'!$A$2:$A$201,0)))&lt;&gt;1,"材料阶段无效",IF(COUNTIF('要件与标签'!$D$23:$D$29,INDEX('任务登记'!$G$2:$G$201,MATCH(B189,'任务登记'!$A$2:$A$201,0)))&lt;&gt;1,"任务阶段无效",IF(MATCH(INDEX('材料'!$H$2:$H$201,MATCH(C189,'材料'!$A$2:$A$201,0)),'要件与标签'!$D$23:$D$29,0)&gt;MATCH(INDEX('任务登记'!$G$2:$G$201,MATCH(B189,'任务登记'!$A$2:$A$201,0)),'要件与标签'!$D$23:$D$29,0),"引用未来材料","字段齐备"))))))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10" t="str">
        <x:f>IF(COUNTA(A190:L190)=0,"",IF(OR(A190="",B190="",C190="",D190="",E190="",F190="",G190="",H190="",I190="",J190=""),"缺必填",IF(COUNTIF($A$2:$A$201,A190)&gt;1,"ID重复",IF(COUNTIF('任务登记'!$A$2:$A$201,B190)&lt;&gt;1,"任务ID无效",IF(COUNTIF('材料'!$A$2:$A$201,C190)&lt;&gt;1,"材料ID无效",IF(INDEX('材料'!$B$2:$B$201,MATCH(C190,'材料'!$A$2:$A$201,0))&lt;&gt;INDEX('任务登记'!$B$2:$B$201,MATCH(B190,'任务登记'!$A$2:$A$201,0)),"材料与任务跨案",IF(ISERROR(SEARCH(";"&amp;C190&amp;";",";"&amp;INDEX('任务登记'!$H$2:$H$201,MATCH(B190,'任务登记'!$A$2:$A$201,0))&amp;";")),"材料不在可见清单",IF(COUNTIF('要件与标签'!$D$23:$D$29,INDEX('材料'!$H$2:$H$201,MATCH(C190,'材料'!$A$2:$A$201,0)))&lt;&gt;1,"材料阶段无效",IF(COUNTIF('要件与标签'!$D$23:$D$29,INDEX('任务登记'!$G$2:$G$201,MATCH(B190,'任务登记'!$A$2:$A$201,0)))&lt;&gt;1,"任务阶段无效",IF(MATCH(INDEX('材料'!$H$2:$H$201,MATCH(C190,'材料'!$A$2:$A$201,0)),'要件与标签'!$D$23:$D$29,0)&gt;MATCH(INDEX('任务登记'!$G$2:$G$201,MATCH(B190,'任务登记'!$A$2:$A$201,0)),'要件与标签'!$D$23:$D$29,0),"引用未来材料","字段齐备"))))))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10" t="str">
        <x:f>IF(COUNTA(A191:L191)=0,"",IF(OR(A191="",B191="",C191="",D191="",E191="",F191="",G191="",H191="",I191="",J191=""),"缺必填",IF(COUNTIF($A$2:$A$201,A191)&gt;1,"ID重复",IF(COUNTIF('任务登记'!$A$2:$A$201,B191)&lt;&gt;1,"任务ID无效",IF(COUNTIF('材料'!$A$2:$A$201,C191)&lt;&gt;1,"材料ID无效",IF(INDEX('材料'!$B$2:$B$201,MATCH(C191,'材料'!$A$2:$A$201,0))&lt;&gt;INDEX('任务登记'!$B$2:$B$201,MATCH(B191,'任务登记'!$A$2:$A$201,0)),"材料与任务跨案",IF(ISERROR(SEARCH(";"&amp;C191&amp;";",";"&amp;INDEX('任务登记'!$H$2:$H$201,MATCH(B191,'任务登记'!$A$2:$A$201,0))&amp;";")),"材料不在可见清单",IF(COUNTIF('要件与标签'!$D$23:$D$29,INDEX('材料'!$H$2:$H$201,MATCH(C191,'材料'!$A$2:$A$201,0)))&lt;&gt;1,"材料阶段无效",IF(COUNTIF('要件与标签'!$D$23:$D$29,INDEX('任务登记'!$G$2:$G$201,MATCH(B191,'任务登记'!$A$2:$A$201,0)))&lt;&gt;1,"任务阶段无效",IF(MATCH(INDEX('材料'!$H$2:$H$201,MATCH(C191,'材料'!$A$2:$A$201,0)),'要件与标签'!$D$23:$D$29,0)&gt;MATCH(INDEX('任务登记'!$G$2:$G$201,MATCH(B191,'任务登记'!$A$2:$A$201,0)),'要件与标签'!$D$23:$D$29,0),"引用未来材料","字段齐备"))))))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10" t="str">
        <x:f>IF(COUNTA(A192:L192)=0,"",IF(OR(A192="",B192="",C192="",D192="",E192="",F192="",G192="",H192="",I192="",J192=""),"缺必填",IF(COUNTIF($A$2:$A$201,A192)&gt;1,"ID重复",IF(COUNTIF('任务登记'!$A$2:$A$201,B192)&lt;&gt;1,"任务ID无效",IF(COUNTIF('材料'!$A$2:$A$201,C192)&lt;&gt;1,"材料ID无效",IF(INDEX('材料'!$B$2:$B$201,MATCH(C192,'材料'!$A$2:$A$201,0))&lt;&gt;INDEX('任务登记'!$B$2:$B$201,MATCH(B192,'任务登记'!$A$2:$A$201,0)),"材料与任务跨案",IF(ISERROR(SEARCH(";"&amp;C192&amp;";",";"&amp;INDEX('任务登记'!$H$2:$H$201,MATCH(B192,'任务登记'!$A$2:$A$201,0))&amp;";")),"材料不在可见清单",IF(COUNTIF('要件与标签'!$D$23:$D$29,INDEX('材料'!$H$2:$H$201,MATCH(C192,'材料'!$A$2:$A$201,0)))&lt;&gt;1,"材料阶段无效",IF(COUNTIF('要件与标签'!$D$23:$D$29,INDEX('任务登记'!$G$2:$G$201,MATCH(B192,'任务登记'!$A$2:$A$201,0)))&lt;&gt;1,"任务阶段无效",IF(MATCH(INDEX('材料'!$H$2:$H$201,MATCH(C192,'材料'!$A$2:$A$201,0)),'要件与标签'!$D$23:$D$29,0)&gt;MATCH(INDEX('任务登记'!$G$2:$G$201,MATCH(B192,'任务登记'!$A$2:$A$201,0)),'要件与标签'!$D$23:$D$29,0),"引用未来材料","字段齐备"))))))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10" t="str">
        <x:f>IF(COUNTA(A193:L193)=0,"",IF(OR(A193="",B193="",C193="",D193="",E193="",F193="",G193="",H193="",I193="",J193=""),"缺必填",IF(COUNTIF($A$2:$A$201,A193)&gt;1,"ID重复",IF(COUNTIF('任务登记'!$A$2:$A$201,B193)&lt;&gt;1,"任务ID无效",IF(COUNTIF('材料'!$A$2:$A$201,C193)&lt;&gt;1,"材料ID无效",IF(INDEX('材料'!$B$2:$B$201,MATCH(C193,'材料'!$A$2:$A$201,0))&lt;&gt;INDEX('任务登记'!$B$2:$B$201,MATCH(B193,'任务登记'!$A$2:$A$201,0)),"材料与任务跨案",IF(ISERROR(SEARCH(";"&amp;C193&amp;";",";"&amp;INDEX('任务登记'!$H$2:$H$201,MATCH(B193,'任务登记'!$A$2:$A$201,0))&amp;";")),"材料不在可见清单",IF(COUNTIF('要件与标签'!$D$23:$D$29,INDEX('材料'!$H$2:$H$201,MATCH(C193,'材料'!$A$2:$A$201,0)))&lt;&gt;1,"材料阶段无效",IF(COUNTIF('要件与标签'!$D$23:$D$29,INDEX('任务登记'!$G$2:$G$201,MATCH(B193,'任务登记'!$A$2:$A$201,0)))&lt;&gt;1,"任务阶段无效",IF(MATCH(INDEX('材料'!$H$2:$H$201,MATCH(C193,'材料'!$A$2:$A$201,0)),'要件与标签'!$D$23:$D$29,0)&gt;MATCH(INDEX('任务登记'!$G$2:$G$201,MATCH(B193,'任务登记'!$A$2:$A$201,0)),'要件与标签'!$D$23:$D$29,0),"引用未来材料","字段齐备"))))))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10" t="str">
        <x:f>IF(COUNTA(A194:L194)=0,"",IF(OR(A194="",B194="",C194="",D194="",E194="",F194="",G194="",H194="",I194="",J194=""),"缺必填",IF(COUNTIF($A$2:$A$201,A194)&gt;1,"ID重复",IF(COUNTIF('任务登记'!$A$2:$A$201,B194)&lt;&gt;1,"任务ID无效",IF(COUNTIF('材料'!$A$2:$A$201,C194)&lt;&gt;1,"材料ID无效",IF(INDEX('材料'!$B$2:$B$201,MATCH(C194,'材料'!$A$2:$A$201,0))&lt;&gt;INDEX('任务登记'!$B$2:$B$201,MATCH(B194,'任务登记'!$A$2:$A$201,0)),"材料与任务跨案",IF(ISERROR(SEARCH(";"&amp;C194&amp;";",";"&amp;INDEX('任务登记'!$H$2:$H$201,MATCH(B194,'任务登记'!$A$2:$A$201,0))&amp;";")),"材料不在可见清单",IF(COUNTIF('要件与标签'!$D$23:$D$29,INDEX('材料'!$H$2:$H$201,MATCH(C194,'材料'!$A$2:$A$201,0)))&lt;&gt;1,"材料阶段无效",IF(COUNTIF('要件与标签'!$D$23:$D$29,INDEX('任务登记'!$G$2:$G$201,MATCH(B194,'任务登记'!$A$2:$A$201,0)))&lt;&gt;1,"任务阶段无效",IF(MATCH(INDEX('材料'!$H$2:$H$201,MATCH(C194,'材料'!$A$2:$A$201,0)),'要件与标签'!$D$23:$D$29,0)&gt;MATCH(INDEX('任务登记'!$G$2:$G$201,MATCH(B194,'任务登记'!$A$2:$A$201,0)),'要件与标签'!$D$23:$D$29,0),"引用未来材料","字段齐备"))))))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10" t="str">
        <x:f>IF(COUNTA(A195:L195)=0,"",IF(OR(A195="",B195="",C195="",D195="",E195="",F195="",G195="",H195="",I195="",J195=""),"缺必填",IF(COUNTIF($A$2:$A$201,A195)&gt;1,"ID重复",IF(COUNTIF('任务登记'!$A$2:$A$201,B195)&lt;&gt;1,"任务ID无效",IF(COUNTIF('材料'!$A$2:$A$201,C195)&lt;&gt;1,"材料ID无效",IF(INDEX('材料'!$B$2:$B$201,MATCH(C195,'材料'!$A$2:$A$201,0))&lt;&gt;INDEX('任务登记'!$B$2:$B$201,MATCH(B195,'任务登记'!$A$2:$A$201,0)),"材料与任务跨案",IF(ISERROR(SEARCH(";"&amp;C195&amp;";",";"&amp;INDEX('任务登记'!$H$2:$H$201,MATCH(B195,'任务登记'!$A$2:$A$201,0))&amp;";")),"材料不在可见清单",IF(COUNTIF('要件与标签'!$D$23:$D$29,INDEX('材料'!$H$2:$H$201,MATCH(C195,'材料'!$A$2:$A$201,0)))&lt;&gt;1,"材料阶段无效",IF(COUNTIF('要件与标签'!$D$23:$D$29,INDEX('任务登记'!$G$2:$G$201,MATCH(B195,'任务登记'!$A$2:$A$201,0)))&lt;&gt;1,"任务阶段无效",IF(MATCH(INDEX('材料'!$H$2:$H$201,MATCH(C195,'材料'!$A$2:$A$201,0)),'要件与标签'!$D$23:$D$29,0)&gt;MATCH(INDEX('任务登记'!$G$2:$G$201,MATCH(B195,'任务登记'!$A$2:$A$201,0)),'要件与标签'!$D$23:$D$29,0),"引用未来材料","字段齐备"))))))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10" t="str">
        <x:f>IF(COUNTA(A196:L196)=0,"",IF(OR(A196="",B196="",C196="",D196="",E196="",F196="",G196="",H196="",I196="",J196=""),"缺必填",IF(COUNTIF($A$2:$A$201,A196)&gt;1,"ID重复",IF(COUNTIF('任务登记'!$A$2:$A$201,B196)&lt;&gt;1,"任务ID无效",IF(COUNTIF('材料'!$A$2:$A$201,C196)&lt;&gt;1,"材料ID无效",IF(INDEX('材料'!$B$2:$B$201,MATCH(C196,'材料'!$A$2:$A$201,0))&lt;&gt;INDEX('任务登记'!$B$2:$B$201,MATCH(B196,'任务登记'!$A$2:$A$201,0)),"材料与任务跨案",IF(ISERROR(SEARCH(";"&amp;C196&amp;";",";"&amp;INDEX('任务登记'!$H$2:$H$201,MATCH(B196,'任务登记'!$A$2:$A$201,0))&amp;";")),"材料不在可见清单",IF(COUNTIF('要件与标签'!$D$23:$D$29,INDEX('材料'!$H$2:$H$201,MATCH(C196,'材料'!$A$2:$A$201,0)))&lt;&gt;1,"材料阶段无效",IF(COUNTIF('要件与标签'!$D$23:$D$29,INDEX('任务登记'!$G$2:$G$201,MATCH(B196,'任务登记'!$A$2:$A$201,0)))&lt;&gt;1,"任务阶段无效",IF(MATCH(INDEX('材料'!$H$2:$H$201,MATCH(C196,'材料'!$A$2:$A$201,0)),'要件与标签'!$D$23:$D$29,0)&gt;MATCH(INDEX('任务登记'!$G$2:$G$201,MATCH(B196,'任务登记'!$A$2:$A$201,0)),'要件与标签'!$D$23:$D$29,0),"引用未来材料","字段齐备"))))))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10" t="str">
        <x:f>IF(COUNTA(A197:L197)=0,"",IF(OR(A197="",B197="",C197="",D197="",E197="",F197="",G197="",H197="",I197="",J197=""),"缺必填",IF(COUNTIF($A$2:$A$201,A197)&gt;1,"ID重复",IF(COUNTIF('任务登记'!$A$2:$A$201,B197)&lt;&gt;1,"任务ID无效",IF(COUNTIF('材料'!$A$2:$A$201,C197)&lt;&gt;1,"材料ID无效",IF(INDEX('材料'!$B$2:$B$201,MATCH(C197,'材料'!$A$2:$A$201,0))&lt;&gt;INDEX('任务登记'!$B$2:$B$201,MATCH(B197,'任务登记'!$A$2:$A$201,0)),"材料与任务跨案",IF(ISERROR(SEARCH(";"&amp;C197&amp;";",";"&amp;INDEX('任务登记'!$H$2:$H$201,MATCH(B197,'任务登记'!$A$2:$A$201,0))&amp;";")),"材料不在可见清单",IF(COUNTIF('要件与标签'!$D$23:$D$29,INDEX('材料'!$H$2:$H$201,MATCH(C197,'材料'!$A$2:$A$201,0)))&lt;&gt;1,"材料阶段无效",IF(COUNTIF('要件与标签'!$D$23:$D$29,INDEX('任务登记'!$G$2:$G$201,MATCH(B197,'任务登记'!$A$2:$A$201,0)))&lt;&gt;1,"任务阶段无效",IF(MATCH(INDEX('材料'!$H$2:$H$201,MATCH(C197,'材料'!$A$2:$A$201,0)),'要件与标签'!$D$23:$D$29,0)&gt;MATCH(INDEX('任务登记'!$G$2:$G$201,MATCH(B197,'任务登记'!$A$2:$A$201,0)),'要件与标签'!$D$23:$D$29,0),"引用未来材料","字段齐备"))))))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10" t="str">
        <x:f>IF(COUNTA(A198:L198)=0,"",IF(OR(A198="",B198="",C198="",D198="",E198="",F198="",G198="",H198="",I198="",J198=""),"缺必填",IF(COUNTIF($A$2:$A$201,A198)&gt;1,"ID重复",IF(COUNTIF('任务登记'!$A$2:$A$201,B198)&lt;&gt;1,"任务ID无效",IF(COUNTIF('材料'!$A$2:$A$201,C198)&lt;&gt;1,"材料ID无效",IF(INDEX('材料'!$B$2:$B$201,MATCH(C198,'材料'!$A$2:$A$201,0))&lt;&gt;INDEX('任务登记'!$B$2:$B$201,MATCH(B198,'任务登记'!$A$2:$A$201,0)),"材料与任务跨案",IF(ISERROR(SEARCH(";"&amp;C198&amp;";",";"&amp;INDEX('任务登记'!$H$2:$H$201,MATCH(B198,'任务登记'!$A$2:$A$201,0))&amp;";")),"材料不在可见清单",IF(COUNTIF('要件与标签'!$D$23:$D$29,INDEX('材料'!$H$2:$H$201,MATCH(C198,'材料'!$A$2:$A$201,0)))&lt;&gt;1,"材料阶段无效",IF(COUNTIF('要件与标签'!$D$23:$D$29,INDEX('任务登记'!$G$2:$G$201,MATCH(B198,'任务登记'!$A$2:$A$201,0)))&lt;&gt;1,"任务阶段无效",IF(MATCH(INDEX('材料'!$H$2:$H$201,MATCH(C198,'材料'!$A$2:$A$201,0)),'要件与标签'!$D$23:$D$29,0)&gt;MATCH(INDEX('任务登记'!$G$2:$G$201,MATCH(B198,'任务登记'!$A$2:$A$201,0)),'要件与标签'!$D$23:$D$29,0),"引用未来材料","字段齐备"))))))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10" t="str">
        <x:f>IF(COUNTA(A199:L199)=0,"",IF(OR(A199="",B199="",C199="",D199="",E199="",F199="",G199="",H199="",I199="",J199=""),"缺必填",IF(COUNTIF($A$2:$A$201,A199)&gt;1,"ID重复",IF(COUNTIF('任务登记'!$A$2:$A$201,B199)&lt;&gt;1,"任务ID无效",IF(COUNTIF('材料'!$A$2:$A$201,C199)&lt;&gt;1,"材料ID无效",IF(INDEX('材料'!$B$2:$B$201,MATCH(C199,'材料'!$A$2:$A$201,0))&lt;&gt;INDEX('任务登记'!$B$2:$B$201,MATCH(B199,'任务登记'!$A$2:$A$201,0)),"材料与任务跨案",IF(ISERROR(SEARCH(";"&amp;C199&amp;";",";"&amp;INDEX('任务登记'!$H$2:$H$201,MATCH(B199,'任务登记'!$A$2:$A$201,0))&amp;";")),"材料不在可见清单",IF(COUNTIF('要件与标签'!$D$23:$D$29,INDEX('材料'!$H$2:$H$201,MATCH(C199,'材料'!$A$2:$A$201,0)))&lt;&gt;1,"材料阶段无效",IF(COUNTIF('要件与标签'!$D$23:$D$29,INDEX('任务登记'!$G$2:$G$201,MATCH(B199,'任务登记'!$A$2:$A$201,0)))&lt;&gt;1,"任务阶段无效",IF(MATCH(INDEX('材料'!$H$2:$H$201,MATCH(C199,'材料'!$A$2:$A$201,0)),'要件与标签'!$D$23:$D$29,0)&gt;MATCH(INDEX('任务登记'!$G$2:$G$201,MATCH(B199,'任务登记'!$A$2:$A$201,0)),'要件与标签'!$D$23:$D$29,0),"引用未来材料","字段齐备"))))))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10" t="str">
        <x:f>IF(COUNTA(A200:L200)=0,"",IF(OR(A200="",B200="",C200="",D200="",E200="",F200="",G200="",H200="",I200="",J200=""),"缺必填",IF(COUNTIF($A$2:$A$201,A200)&gt;1,"ID重复",IF(COUNTIF('任务登记'!$A$2:$A$201,B200)&lt;&gt;1,"任务ID无效",IF(COUNTIF('材料'!$A$2:$A$201,C200)&lt;&gt;1,"材料ID无效",IF(INDEX('材料'!$B$2:$B$201,MATCH(C200,'材料'!$A$2:$A$201,0))&lt;&gt;INDEX('任务登记'!$B$2:$B$201,MATCH(B200,'任务登记'!$A$2:$A$201,0)),"材料与任务跨案",IF(ISERROR(SEARCH(";"&amp;C200&amp;";",";"&amp;INDEX('任务登记'!$H$2:$H$201,MATCH(B200,'任务登记'!$A$2:$A$201,0))&amp;";")),"材料不在可见清单",IF(COUNTIF('要件与标签'!$D$23:$D$29,INDEX('材料'!$H$2:$H$201,MATCH(C200,'材料'!$A$2:$A$201,0)))&lt;&gt;1,"材料阶段无效",IF(COUNTIF('要件与标签'!$D$23:$D$29,INDEX('任务登记'!$G$2:$G$201,MATCH(B200,'任务登记'!$A$2:$A$201,0)))&lt;&gt;1,"任务阶段无效",IF(MATCH(INDEX('材料'!$H$2:$H$201,MATCH(C200,'材料'!$A$2:$A$201,0)),'要件与标签'!$D$23:$D$29,0)&gt;MATCH(INDEX('任务登记'!$G$2:$G$201,MATCH(B200,'任务登记'!$A$2:$A$201,0)),'要件与标签'!$D$23:$D$29,0),"引用未来材料","字段齐备"))))))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10" t="str">
        <x:f>IF(COUNTA(A201:L201)=0,"",IF(OR(A201="",B201="",C201="",D201="",E201="",F201="",G201="",H201="",I201="",J201=""),"缺必填",IF(COUNTIF($A$2:$A$201,A201)&gt;1,"ID重复",IF(COUNTIF('任务登记'!$A$2:$A$201,B201)&lt;&gt;1,"任务ID无效",IF(COUNTIF('材料'!$A$2:$A$201,C201)&lt;&gt;1,"材料ID无效",IF(INDEX('材料'!$B$2:$B$201,MATCH(C201,'材料'!$A$2:$A$201,0))&lt;&gt;INDEX('任务登记'!$B$2:$B$201,MATCH(B201,'任务登记'!$A$2:$A$201,0)),"材料与任务跨案",IF(ISERROR(SEARCH(";"&amp;C201&amp;";",";"&amp;INDEX('任务登记'!$H$2:$H$201,MATCH(B201,'任务登记'!$A$2:$A$201,0))&amp;";")),"材料不在可见清单",IF(COUNTIF('要件与标签'!$D$23:$D$29,INDEX('材料'!$H$2:$H$201,MATCH(C201,'材料'!$A$2:$A$201,0)))&lt;&gt;1,"材料阶段无效",IF(COUNTIF('要件与标签'!$D$23:$D$29,INDEX('任务登记'!$G$2:$G$201,MATCH(B201,'任务登记'!$A$2:$A$201,0)))&lt;&gt;1,"任务阶段无效",IF(MATCH(INDEX('材料'!$H$2:$H$201,MATCH(C201,'材料'!$A$2:$A$201,0)),'要件与标签'!$D$23:$D$29,0)&gt;MATCH(INDEX('任务登记'!$G$2:$G$201,MATCH(B201,'任务登记'!$A$2:$A$201,0)),'要件与标签'!$D$23:$D$29,0),"引用未来材料","字段齐备"))))))))))</x:f>
      </x:c>
    </x:row>
  </x:sheetData>
  <x:conditionalFormatting sqref="A2:M201">
    <x:cfRule type="expression" dxfId="3" priority="1">
      <x:formula>AND($M2&lt;&gt;"",$M2&lt;&gt;"字段齐备")</x:formula>
    </x:cfRule>
  </x:conditionalFormatting>
  <x:dataValidations count="2">
    <x:dataValidation type="list" sqref="H2:H201">
      <x:formula1>"原文记载,法院认定,标注者评价"</x:formula1>
    </x:dataValidation>
    <x:dataValidation type="list" sqref="J2:J201">
      <x:formula1>"未核验,已对照原文,存在争议,无法核验"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a067f22f764e7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</x:cols>
  <x:sheetData>
    <x:row r="1" ht="52" customHeight="1">
      <x:c r="A1" s="6" t="str">
        <x:v>实体ID</x:v>
      </x:c>
      <x:c r="B1" s="6" t="str">
        <x:v>案件ID</x:v>
      </x:c>
      <x:c r="C1" s="6" t="str">
        <x:v>实体类型</x:v>
      </x:c>
      <x:c r="D1" s="6" t="str">
        <x:v>脱敏代称</x:v>
      </x:c>
      <x:c r="E1" s="6" t="str">
        <x:v>来源片段ID</x:v>
      </x:c>
      <x:c r="F1" s="6" t="str">
        <x:v>身份属性原文</x:v>
      </x:c>
      <x:c r="G1" s="6" t="str">
        <x:v>存疑身份关联</x:v>
      </x:c>
      <x:c r="H1" s="6" t="str">
        <x:v>敏感级别</x:v>
      </x:c>
      <x:c r="I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10" t="str">
        <x:f>IF(COUNTA(A2:H2)=0,"",IF(OR(A2="",B2="",C2="",D2="",E2="",H2=""),"缺必填",IF(COUNTIF($A$2:$A$201,A2)&gt;1,"ID重复",IF(COUNTIF('案件'!$A$2:$A$201,B2)&lt;&gt;1,"案件ID无效","字段齐备"))))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10" t="str">
        <x:f>IF(COUNTA(A3:H3)=0,"",IF(OR(A3="",B3="",C3="",D3="",E3="",H3=""),"缺必填",IF(COUNTIF($A$2:$A$201,A3)&gt;1,"ID重复",IF(COUNTIF('案件'!$A$2:$A$201,B3)&lt;&gt;1,"案件ID无效","字段齐备"))))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10" t="str">
        <x:f>IF(COUNTA(A4:H4)=0,"",IF(OR(A4="",B4="",C4="",D4="",E4="",H4=""),"缺必填",IF(COUNTIF($A$2:$A$201,A4)&gt;1,"ID重复",IF(COUNTIF('案件'!$A$2:$A$201,B4)&lt;&gt;1,"案件ID无效","字段齐备"))))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10" t="str">
        <x:f>IF(COUNTA(A5:H5)=0,"",IF(OR(A5="",B5="",C5="",D5="",E5="",H5=""),"缺必填",IF(COUNTIF($A$2:$A$201,A5)&gt;1,"ID重复",IF(COUNTIF('案件'!$A$2:$A$201,B5)&lt;&gt;1,"案件ID无效","字段齐备"))))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10" t="str">
        <x:f>IF(COUNTA(A6:H6)=0,"",IF(OR(A6="",B6="",C6="",D6="",E6="",H6=""),"缺必填",IF(COUNTIF($A$2:$A$201,A6)&gt;1,"ID重复",IF(COUNTIF('案件'!$A$2:$A$201,B6)&lt;&gt;1,"案件ID无效","字段齐备"))))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10" t="str">
        <x:f>IF(COUNTA(A7:H7)=0,"",IF(OR(A7="",B7="",C7="",D7="",E7="",H7=""),"缺必填",IF(COUNTIF($A$2:$A$201,A7)&gt;1,"ID重复",IF(COUNTIF('案件'!$A$2:$A$201,B7)&lt;&gt;1,"案件ID无效","字段齐备"))))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10" t="str">
        <x:f>IF(COUNTA(A8:H8)=0,"",IF(OR(A8="",B8="",C8="",D8="",E8="",H8=""),"缺必填",IF(COUNTIF($A$2:$A$201,A8)&gt;1,"ID重复",IF(COUNTIF('案件'!$A$2:$A$201,B8)&lt;&gt;1,"案件ID无效","字段齐备"))))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10" t="str">
        <x:f>IF(COUNTA(A9:H9)=0,"",IF(OR(A9="",B9="",C9="",D9="",E9="",H9=""),"缺必填",IF(COUNTIF($A$2:$A$201,A9)&gt;1,"ID重复",IF(COUNTIF('案件'!$A$2:$A$201,B9)&lt;&gt;1,"案件ID无效","字段齐备"))))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10" t="str">
        <x:f>IF(COUNTA(A10:H10)=0,"",IF(OR(A10="",B10="",C10="",D10="",E10="",H10=""),"缺必填",IF(COUNTIF($A$2:$A$201,A10)&gt;1,"ID重复",IF(COUNTIF('案件'!$A$2:$A$201,B10)&lt;&gt;1,"案件ID无效","字段齐备"))))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10" t="str">
        <x:f>IF(COUNTA(A11:H11)=0,"",IF(OR(A11="",B11="",C11="",D11="",E11="",H11=""),"缺必填",IF(COUNTIF($A$2:$A$201,A11)&gt;1,"ID重复",IF(COUNTIF('案件'!$A$2:$A$201,B11)&lt;&gt;1,"案件ID无效","字段齐备"))))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10" t="str">
        <x:f>IF(COUNTA(A12:H12)=0,"",IF(OR(A12="",B12="",C12="",D12="",E12="",H12=""),"缺必填",IF(COUNTIF($A$2:$A$201,A12)&gt;1,"ID重复",IF(COUNTIF('案件'!$A$2:$A$201,B12)&lt;&gt;1,"案件ID无效","字段齐备"))))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10" t="str">
        <x:f>IF(COUNTA(A13:H13)=0,"",IF(OR(A13="",B13="",C13="",D13="",E13="",H13=""),"缺必填",IF(COUNTIF($A$2:$A$201,A13)&gt;1,"ID重复",IF(COUNTIF('案件'!$A$2:$A$201,B13)&lt;&gt;1,"案件ID无效","字段齐备"))))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10" t="str">
        <x:f>IF(COUNTA(A14:H14)=0,"",IF(OR(A14="",B14="",C14="",D14="",E14="",H14=""),"缺必填",IF(COUNTIF($A$2:$A$201,A14)&gt;1,"ID重复",IF(COUNTIF('案件'!$A$2:$A$201,B14)&lt;&gt;1,"案件ID无效","字段齐备"))))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10" t="str">
        <x:f>IF(COUNTA(A15:H15)=0,"",IF(OR(A15="",B15="",C15="",D15="",E15="",H15=""),"缺必填",IF(COUNTIF($A$2:$A$201,A15)&gt;1,"ID重复",IF(COUNTIF('案件'!$A$2:$A$201,B15)&lt;&gt;1,"案件ID无效","字段齐备"))))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10" t="str">
        <x:f>IF(COUNTA(A16:H16)=0,"",IF(OR(A16="",B16="",C16="",D16="",E16="",H16=""),"缺必填",IF(COUNTIF($A$2:$A$201,A16)&gt;1,"ID重复",IF(COUNTIF('案件'!$A$2:$A$201,B16)&lt;&gt;1,"案件ID无效","字段齐备"))))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10" t="str">
        <x:f>IF(COUNTA(A17:H17)=0,"",IF(OR(A17="",B17="",C17="",D17="",E17="",H17=""),"缺必填",IF(COUNTIF($A$2:$A$201,A17)&gt;1,"ID重复",IF(COUNTIF('案件'!$A$2:$A$201,B17)&lt;&gt;1,"案件ID无效","字段齐备"))))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10" t="str">
        <x:f>IF(COUNTA(A18:H18)=0,"",IF(OR(A18="",B18="",C18="",D18="",E18="",H18=""),"缺必填",IF(COUNTIF($A$2:$A$201,A18)&gt;1,"ID重复",IF(COUNTIF('案件'!$A$2:$A$201,B18)&lt;&gt;1,"案件ID无效","字段齐备"))))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10" t="str">
        <x:f>IF(COUNTA(A19:H19)=0,"",IF(OR(A19="",B19="",C19="",D19="",E19="",H19=""),"缺必填",IF(COUNTIF($A$2:$A$201,A19)&gt;1,"ID重复",IF(COUNTIF('案件'!$A$2:$A$201,B19)&lt;&gt;1,"案件ID无效","字段齐备"))))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10" t="str">
        <x:f>IF(COUNTA(A20:H20)=0,"",IF(OR(A20="",B20="",C20="",D20="",E20="",H20=""),"缺必填",IF(COUNTIF($A$2:$A$201,A20)&gt;1,"ID重复",IF(COUNTIF('案件'!$A$2:$A$201,B20)&lt;&gt;1,"案件ID无效","字段齐备"))))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10" t="str">
        <x:f>IF(COUNTA(A21:H21)=0,"",IF(OR(A21="",B21="",C21="",D21="",E21="",H21=""),"缺必填",IF(COUNTIF($A$2:$A$201,A21)&gt;1,"ID重复",IF(COUNTIF('案件'!$A$2:$A$201,B21)&lt;&gt;1,"案件ID无效","字段齐备"))))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10" t="str">
        <x:f>IF(COUNTA(A22:H22)=0,"",IF(OR(A22="",B22="",C22="",D22="",E22="",H22=""),"缺必填",IF(COUNTIF($A$2:$A$201,A22)&gt;1,"ID重复",IF(COUNTIF('案件'!$A$2:$A$201,B22)&lt;&gt;1,"案件ID无效","字段齐备"))))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10" t="str">
        <x:f>IF(COUNTA(A23:H23)=0,"",IF(OR(A23="",B23="",C23="",D23="",E23="",H23=""),"缺必填",IF(COUNTIF($A$2:$A$201,A23)&gt;1,"ID重复",IF(COUNTIF('案件'!$A$2:$A$201,B23)&lt;&gt;1,"案件ID无效","字段齐备"))))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10" t="str">
        <x:f>IF(COUNTA(A24:H24)=0,"",IF(OR(A24="",B24="",C24="",D24="",E24="",H24=""),"缺必填",IF(COUNTIF($A$2:$A$201,A24)&gt;1,"ID重复",IF(COUNTIF('案件'!$A$2:$A$201,B24)&lt;&gt;1,"案件ID无效","字段齐备"))))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10" t="str">
        <x:f>IF(COUNTA(A25:H25)=0,"",IF(OR(A25="",B25="",C25="",D25="",E25="",H25=""),"缺必填",IF(COUNTIF($A$2:$A$201,A25)&gt;1,"ID重复",IF(COUNTIF('案件'!$A$2:$A$201,B25)&lt;&gt;1,"案件ID无效","字段齐备"))))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10" t="str">
        <x:f>IF(COUNTA(A26:H26)=0,"",IF(OR(A26="",B26="",C26="",D26="",E26="",H26=""),"缺必填",IF(COUNTIF($A$2:$A$201,A26)&gt;1,"ID重复",IF(COUNTIF('案件'!$A$2:$A$201,B26)&lt;&gt;1,"案件ID无效","字段齐备"))))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10" t="str">
        <x:f>IF(COUNTA(A27:H27)=0,"",IF(OR(A27="",B27="",C27="",D27="",E27="",H27=""),"缺必填",IF(COUNTIF($A$2:$A$201,A27)&gt;1,"ID重复",IF(COUNTIF('案件'!$A$2:$A$201,B27)&lt;&gt;1,"案件ID无效","字段齐备"))))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10" t="str">
        <x:f>IF(COUNTA(A28:H28)=0,"",IF(OR(A28="",B28="",C28="",D28="",E28="",H28=""),"缺必填",IF(COUNTIF($A$2:$A$201,A28)&gt;1,"ID重复",IF(COUNTIF('案件'!$A$2:$A$201,B28)&lt;&gt;1,"案件ID无效","字段齐备"))))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10" t="str">
        <x:f>IF(COUNTA(A29:H29)=0,"",IF(OR(A29="",B29="",C29="",D29="",E29="",H29=""),"缺必填",IF(COUNTIF($A$2:$A$201,A29)&gt;1,"ID重复",IF(COUNTIF('案件'!$A$2:$A$201,B29)&lt;&gt;1,"案件ID无效","字段齐备"))))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10" t="str">
        <x:f>IF(COUNTA(A30:H30)=0,"",IF(OR(A30="",B30="",C30="",D30="",E30="",H30=""),"缺必填",IF(COUNTIF($A$2:$A$201,A30)&gt;1,"ID重复",IF(COUNTIF('案件'!$A$2:$A$201,B30)&lt;&gt;1,"案件ID无效","字段齐备"))))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10" t="str">
        <x:f>IF(COUNTA(A31:H31)=0,"",IF(OR(A31="",B31="",C31="",D31="",E31="",H31=""),"缺必填",IF(COUNTIF($A$2:$A$201,A31)&gt;1,"ID重复",IF(COUNTIF('案件'!$A$2:$A$201,B31)&lt;&gt;1,"案件ID无效","字段齐备"))))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10" t="str">
        <x:f>IF(COUNTA(A32:H32)=0,"",IF(OR(A32="",B32="",C32="",D32="",E32="",H32=""),"缺必填",IF(COUNTIF($A$2:$A$201,A32)&gt;1,"ID重复",IF(COUNTIF('案件'!$A$2:$A$201,B32)&lt;&gt;1,"案件ID无效","字段齐备"))))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10" t="str">
        <x:f>IF(COUNTA(A33:H33)=0,"",IF(OR(A33="",B33="",C33="",D33="",E33="",H33=""),"缺必填",IF(COUNTIF($A$2:$A$201,A33)&gt;1,"ID重复",IF(COUNTIF('案件'!$A$2:$A$201,B33)&lt;&gt;1,"案件ID无效","字段齐备"))))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10" t="str">
        <x:f>IF(COUNTA(A34:H34)=0,"",IF(OR(A34="",B34="",C34="",D34="",E34="",H34=""),"缺必填",IF(COUNTIF($A$2:$A$201,A34)&gt;1,"ID重复",IF(COUNTIF('案件'!$A$2:$A$201,B34)&lt;&gt;1,"案件ID无效","字段齐备"))))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10" t="str">
        <x:f>IF(COUNTA(A35:H35)=0,"",IF(OR(A35="",B35="",C35="",D35="",E35="",H35=""),"缺必填",IF(COUNTIF($A$2:$A$201,A35)&gt;1,"ID重复",IF(COUNTIF('案件'!$A$2:$A$201,B35)&lt;&gt;1,"案件ID无效","字段齐备"))))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10" t="str">
        <x:f>IF(COUNTA(A36:H36)=0,"",IF(OR(A36="",B36="",C36="",D36="",E36="",H36=""),"缺必填",IF(COUNTIF($A$2:$A$201,A36)&gt;1,"ID重复",IF(COUNTIF('案件'!$A$2:$A$201,B36)&lt;&gt;1,"案件ID无效","字段齐备"))))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10" t="str">
        <x:f>IF(COUNTA(A37:H37)=0,"",IF(OR(A37="",B37="",C37="",D37="",E37="",H37=""),"缺必填",IF(COUNTIF($A$2:$A$201,A37)&gt;1,"ID重复",IF(COUNTIF('案件'!$A$2:$A$201,B37)&lt;&gt;1,"案件ID无效","字段齐备"))))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10" t="str">
        <x:f>IF(COUNTA(A38:H38)=0,"",IF(OR(A38="",B38="",C38="",D38="",E38="",H38=""),"缺必填",IF(COUNTIF($A$2:$A$201,A38)&gt;1,"ID重复",IF(COUNTIF('案件'!$A$2:$A$201,B38)&lt;&gt;1,"案件ID无效","字段齐备"))))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10" t="str">
        <x:f>IF(COUNTA(A39:H39)=0,"",IF(OR(A39="",B39="",C39="",D39="",E39="",H39=""),"缺必填",IF(COUNTIF($A$2:$A$201,A39)&gt;1,"ID重复",IF(COUNTIF('案件'!$A$2:$A$201,B39)&lt;&gt;1,"案件ID无效","字段齐备"))))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10" t="str">
        <x:f>IF(COUNTA(A40:H40)=0,"",IF(OR(A40="",B40="",C40="",D40="",E40="",H40=""),"缺必填",IF(COUNTIF($A$2:$A$201,A40)&gt;1,"ID重复",IF(COUNTIF('案件'!$A$2:$A$201,B40)&lt;&gt;1,"案件ID无效","字段齐备"))))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10" t="str">
        <x:f>IF(COUNTA(A41:H41)=0,"",IF(OR(A41="",B41="",C41="",D41="",E41="",H41=""),"缺必填",IF(COUNTIF($A$2:$A$201,A41)&gt;1,"ID重复",IF(COUNTIF('案件'!$A$2:$A$201,B41)&lt;&gt;1,"案件ID无效","字段齐备"))))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10" t="str">
        <x:f>IF(COUNTA(A42:H42)=0,"",IF(OR(A42="",B42="",C42="",D42="",E42="",H42=""),"缺必填",IF(COUNTIF($A$2:$A$201,A42)&gt;1,"ID重复",IF(COUNTIF('案件'!$A$2:$A$201,B42)&lt;&gt;1,"案件ID无效","字段齐备"))))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10" t="str">
        <x:f>IF(COUNTA(A43:H43)=0,"",IF(OR(A43="",B43="",C43="",D43="",E43="",H43=""),"缺必填",IF(COUNTIF($A$2:$A$201,A43)&gt;1,"ID重复",IF(COUNTIF('案件'!$A$2:$A$201,B43)&lt;&gt;1,"案件ID无效","字段齐备"))))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10" t="str">
        <x:f>IF(COUNTA(A44:H44)=0,"",IF(OR(A44="",B44="",C44="",D44="",E44="",H44=""),"缺必填",IF(COUNTIF($A$2:$A$201,A44)&gt;1,"ID重复",IF(COUNTIF('案件'!$A$2:$A$201,B44)&lt;&gt;1,"案件ID无效","字段齐备"))))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10" t="str">
        <x:f>IF(COUNTA(A45:H45)=0,"",IF(OR(A45="",B45="",C45="",D45="",E45="",H45=""),"缺必填",IF(COUNTIF($A$2:$A$201,A45)&gt;1,"ID重复",IF(COUNTIF('案件'!$A$2:$A$201,B45)&lt;&gt;1,"案件ID无效","字段齐备"))))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10" t="str">
        <x:f>IF(COUNTA(A46:H46)=0,"",IF(OR(A46="",B46="",C46="",D46="",E46="",H46=""),"缺必填",IF(COUNTIF($A$2:$A$201,A46)&gt;1,"ID重复",IF(COUNTIF('案件'!$A$2:$A$201,B46)&lt;&gt;1,"案件ID无效","字段齐备"))))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10" t="str">
        <x:f>IF(COUNTA(A47:H47)=0,"",IF(OR(A47="",B47="",C47="",D47="",E47="",H47=""),"缺必填",IF(COUNTIF($A$2:$A$201,A47)&gt;1,"ID重复",IF(COUNTIF('案件'!$A$2:$A$201,B47)&lt;&gt;1,"案件ID无效","字段齐备"))))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10" t="str">
        <x:f>IF(COUNTA(A48:H48)=0,"",IF(OR(A48="",B48="",C48="",D48="",E48="",H48=""),"缺必填",IF(COUNTIF($A$2:$A$201,A48)&gt;1,"ID重复",IF(COUNTIF('案件'!$A$2:$A$201,B48)&lt;&gt;1,"案件ID无效","字段齐备"))))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10" t="str">
        <x:f>IF(COUNTA(A49:H49)=0,"",IF(OR(A49="",B49="",C49="",D49="",E49="",H49=""),"缺必填",IF(COUNTIF($A$2:$A$201,A49)&gt;1,"ID重复",IF(COUNTIF('案件'!$A$2:$A$201,B49)&lt;&gt;1,"案件ID无效","字段齐备"))))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10" t="str">
        <x:f>IF(COUNTA(A50:H50)=0,"",IF(OR(A50="",B50="",C50="",D50="",E50="",H50=""),"缺必填",IF(COUNTIF($A$2:$A$201,A50)&gt;1,"ID重复",IF(COUNTIF('案件'!$A$2:$A$201,B50)&lt;&gt;1,"案件ID无效","字段齐备"))))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10" t="str">
        <x:f>IF(COUNTA(A51:H51)=0,"",IF(OR(A51="",B51="",C51="",D51="",E51="",H51=""),"缺必填",IF(COUNTIF($A$2:$A$201,A51)&gt;1,"ID重复",IF(COUNTIF('案件'!$A$2:$A$201,B51)&lt;&gt;1,"案件ID无效","字段齐备"))))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10" t="str">
        <x:f>IF(COUNTA(A52:H52)=0,"",IF(OR(A52="",B52="",C52="",D52="",E52="",H52=""),"缺必填",IF(COUNTIF($A$2:$A$201,A52)&gt;1,"ID重复",IF(COUNTIF('案件'!$A$2:$A$201,B52)&lt;&gt;1,"案件ID无效","字段齐备"))))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10" t="str">
        <x:f>IF(COUNTA(A53:H53)=0,"",IF(OR(A53="",B53="",C53="",D53="",E53="",H53=""),"缺必填",IF(COUNTIF($A$2:$A$201,A53)&gt;1,"ID重复",IF(COUNTIF('案件'!$A$2:$A$201,B53)&lt;&gt;1,"案件ID无效","字段齐备"))))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10" t="str">
        <x:f>IF(COUNTA(A54:H54)=0,"",IF(OR(A54="",B54="",C54="",D54="",E54="",H54=""),"缺必填",IF(COUNTIF($A$2:$A$201,A54)&gt;1,"ID重复",IF(COUNTIF('案件'!$A$2:$A$201,B54)&lt;&gt;1,"案件ID无效","字段齐备"))))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10" t="str">
        <x:f>IF(COUNTA(A55:H55)=0,"",IF(OR(A55="",B55="",C55="",D55="",E55="",H55=""),"缺必填",IF(COUNTIF($A$2:$A$201,A55)&gt;1,"ID重复",IF(COUNTIF('案件'!$A$2:$A$201,B55)&lt;&gt;1,"案件ID无效","字段齐备"))))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10" t="str">
        <x:f>IF(COUNTA(A56:H56)=0,"",IF(OR(A56="",B56="",C56="",D56="",E56="",H56=""),"缺必填",IF(COUNTIF($A$2:$A$201,A56)&gt;1,"ID重复",IF(COUNTIF('案件'!$A$2:$A$201,B56)&lt;&gt;1,"案件ID无效","字段齐备"))))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10" t="str">
        <x:f>IF(COUNTA(A57:H57)=0,"",IF(OR(A57="",B57="",C57="",D57="",E57="",H57=""),"缺必填",IF(COUNTIF($A$2:$A$201,A57)&gt;1,"ID重复",IF(COUNTIF('案件'!$A$2:$A$201,B57)&lt;&gt;1,"案件ID无效","字段齐备"))))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10" t="str">
        <x:f>IF(COUNTA(A58:H58)=0,"",IF(OR(A58="",B58="",C58="",D58="",E58="",H58=""),"缺必填",IF(COUNTIF($A$2:$A$201,A58)&gt;1,"ID重复",IF(COUNTIF('案件'!$A$2:$A$201,B58)&lt;&gt;1,"案件ID无效","字段齐备"))))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10" t="str">
        <x:f>IF(COUNTA(A59:H59)=0,"",IF(OR(A59="",B59="",C59="",D59="",E59="",H59=""),"缺必填",IF(COUNTIF($A$2:$A$201,A59)&gt;1,"ID重复",IF(COUNTIF('案件'!$A$2:$A$201,B59)&lt;&gt;1,"案件ID无效","字段齐备"))))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10" t="str">
        <x:f>IF(COUNTA(A60:H60)=0,"",IF(OR(A60="",B60="",C60="",D60="",E60="",H60=""),"缺必填",IF(COUNTIF($A$2:$A$201,A60)&gt;1,"ID重复",IF(COUNTIF('案件'!$A$2:$A$201,B60)&lt;&gt;1,"案件ID无效","字段齐备"))))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10" t="str">
        <x:f>IF(COUNTA(A61:H61)=0,"",IF(OR(A61="",B61="",C61="",D61="",E61="",H61=""),"缺必填",IF(COUNTIF($A$2:$A$201,A61)&gt;1,"ID重复",IF(COUNTIF('案件'!$A$2:$A$201,B61)&lt;&gt;1,"案件ID无效","字段齐备"))))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10" t="str">
        <x:f>IF(COUNTA(A62:H62)=0,"",IF(OR(A62="",B62="",C62="",D62="",E62="",H62=""),"缺必填",IF(COUNTIF($A$2:$A$201,A62)&gt;1,"ID重复",IF(COUNTIF('案件'!$A$2:$A$201,B62)&lt;&gt;1,"案件ID无效","字段齐备"))))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10" t="str">
        <x:f>IF(COUNTA(A63:H63)=0,"",IF(OR(A63="",B63="",C63="",D63="",E63="",H63=""),"缺必填",IF(COUNTIF($A$2:$A$201,A63)&gt;1,"ID重复",IF(COUNTIF('案件'!$A$2:$A$201,B63)&lt;&gt;1,"案件ID无效","字段齐备"))))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10" t="str">
        <x:f>IF(COUNTA(A64:H64)=0,"",IF(OR(A64="",B64="",C64="",D64="",E64="",H64=""),"缺必填",IF(COUNTIF($A$2:$A$201,A64)&gt;1,"ID重复",IF(COUNTIF('案件'!$A$2:$A$201,B64)&lt;&gt;1,"案件ID无效","字段齐备"))))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10" t="str">
        <x:f>IF(COUNTA(A65:H65)=0,"",IF(OR(A65="",B65="",C65="",D65="",E65="",H65=""),"缺必填",IF(COUNTIF($A$2:$A$201,A65)&gt;1,"ID重复",IF(COUNTIF('案件'!$A$2:$A$201,B65)&lt;&gt;1,"案件ID无效","字段齐备"))))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10" t="str">
        <x:f>IF(COUNTA(A66:H66)=0,"",IF(OR(A66="",B66="",C66="",D66="",E66="",H66=""),"缺必填",IF(COUNTIF($A$2:$A$201,A66)&gt;1,"ID重复",IF(COUNTIF('案件'!$A$2:$A$201,B66)&lt;&gt;1,"案件ID无效","字段齐备"))))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10" t="str">
        <x:f>IF(COUNTA(A67:H67)=0,"",IF(OR(A67="",B67="",C67="",D67="",E67="",H67=""),"缺必填",IF(COUNTIF($A$2:$A$201,A67)&gt;1,"ID重复",IF(COUNTIF('案件'!$A$2:$A$201,B67)&lt;&gt;1,"案件ID无效","字段齐备"))))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10" t="str">
        <x:f>IF(COUNTA(A68:H68)=0,"",IF(OR(A68="",B68="",C68="",D68="",E68="",H68=""),"缺必填",IF(COUNTIF($A$2:$A$201,A68)&gt;1,"ID重复",IF(COUNTIF('案件'!$A$2:$A$201,B68)&lt;&gt;1,"案件ID无效","字段齐备"))))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10" t="str">
        <x:f>IF(COUNTA(A69:H69)=0,"",IF(OR(A69="",B69="",C69="",D69="",E69="",H69=""),"缺必填",IF(COUNTIF($A$2:$A$201,A69)&gt;1,"ID重复",IF(COUNTIF('案件'!$A$2:$A$201,B69)&lt;&gt;1,"案件ID无效","字段齐备"))))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10" t="str">
        <x:f>IF(COUNTA(A70:H70)=0,"",IF(OR(A70="",B70="",C70="",D70="",E70="",H70=""),"缺必填",IF(COUNTIF($A$2:$A$201,A70)&gt;1,"ID重复",IF(COUNTIF('案件'!$A$2:$A$201,B70)&lt;&gt;1,"案件ID无效","字段齐备"))))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10" t="str">
        <x:f>IF(COUNTA(A71:H71)=0,"",IF(OR(A71="",B71="",C71="",D71="",E71="",H71=""),"缺必填",IF(COUNTIF($A$2:$A$201,A71)&gt;1,"ID重复",IF(COUNTIF('案件'!$A$2:$A$201,B71)&lt;&gt;1,"案件ID无效","字段齐备"))))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10" t="str">
        <x:f>IF(COUNTA(A72:H72)=0,"",IF(OR(A72="",B72="",C72="",D72="",E72="",H72=""),"缺必填",IF(COUNTIF($A$2:$A$201,A72)&gt;1,"ID重复",IF(COUNTIF('案件'!$A$2:$A$201,B72)&lt;&gt;1,"案件ID无效","字段齐备"))))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10" t="str">
        <x:f>IF(COUNTA(A73:H73)=0,"",IF(OR(A73="",B73="",C73="",D73="",E73="",H73=""),"缺必填",IF(COUNTIF($A$2:$A$201,A73)&gt;1,"ID重复",IF(COUNTIF('案件'!$A$2:$A$201,B73)&lt;&gt;1,"案件ID无效","字段齐备"))))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10" t="str">
        <x:f>IF(COUNTA(A74:H74)=0,"",IF(OR(A74="",B74="",C74="",D74="",E74="",H74=""),"缺必填",IF(COUNTIF($A$2:$A$201,A74)&gt;1,"ID重复",IF(COUNTIF('案件'!$A$2:$A$201,B74)&lt;&gt;1,"案件ID无效","字段齐备"))))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10" t="str">
        <x:f>IF(COUNTA(A75:H75)=0,"",IF(OR(A75="",B75="",C75="",D75="",E75="",H75=""),"缺必填",IF(COUNTIF($A$2:$A$201,A75)&gt;1,"ID重复",IF(COUNTIF('案件'!$A$2:$A$201,B75)&lt;&gt;1,"案件ID无效","字段齐备"))))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10" t="str">
        <x:f>IF(COUNTA(A76:H76)=0,"",IF(OR(A76="",B76="",C76="",D76="",E76="",H76=""),"缺必填",IF(COUNTIF($A$2:$A$201,A76)&gt;1,"ID重复",IF(COUNTIF('案件'!$A$2:$A$201,B76)&lt;&gt;1,"案件ID无效","字段齐备"))))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10" t="str">
        <x:f>IF(COUNTA(A77:H77)=0,"",IF(OR(A77="",B77="",C77="",D77="",E77="",H77=""),"缺必填",IF(COUNTIF($A$2:$A$201,A77)&gt;1,"ID重复",IF(COUNTIF('案件'!$A$2:$A$201,B77)&lt;&gt;1,"案件ID无效","字段齐备"))))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10" t="str">
        <x:f>IF(COUNTA(A78:H78)=0,"",IF(OR(A78="",B78="",C78="",D78="",E78="",H78=""),"缺必填",IF(COUNTIF($A$2:$A$201,A78)&gt;1,"ID重复",IF(COUNTIF('案件'!$A$2:$A$201,B78)&lt;&gt;1,"案件ID无效","字段齐备"))))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10" t="str">
        <x:f>IF(COUNTA(A79:H79)=0,"",IF(OR(A79="",B79="",C79="",D79="",E79="",H79=""),"缺必填",IF(COUNTIF($A$2:$A$201,A79)&gt;1,"ID重复",IF(COUNTIF('案件'!$A$2:$A$201,B79)&lt;&gt;1,"案件ID无效","字段齐备"))))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10" t="str">
        <x:f>IF(COUNTA(A80:H80)=0,"",IF(OR(A80="",B80="",C80="",D80="",E80="",H80=""),"缺必填",IF(COUNTIF($A$2:$A$201,A80)&gt;1,"ID重复",IF(COUNTIF('案件'!$A$2:$A$201,B80)&lt;&gt;1,"案件ID无效","字段齐备"))))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10" t="str">
        <x:f>IF(COUNTA(A81:H81)=0,"",IF(OR(A81="",B81="",C81="",D81="",E81="",H81=""),"缺必填",IF(COUNTIF($A$2:$A$201,A81)&gt;1,"ID重复",IF(COUNTIF('案件'!$A$2:$A$201,B81)&lt;&gt;1,"案件ID无效","字段齐备"))))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10" t="str">
        <x:f>IF(COUNTA(A82:H82)=0,"",IF(OR(A82="",B82="",C82="",D82="",E82="",H82=""),"缺必填",IF(COUNTIF($A$2:$A$201,A82)&gt;1,"ID重复",IF(COUNTIF('案件'!$A$2:$A$201,B82)&lt;&gt;1,"案件ID无效","字段齐备"))))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10" t="str">
        <x:f>IF(COUNTA(A83:H83)=0,"",IF(OR(A83="",B83="",C83="",D83="",E83="",H83=""),"缺必填",IF(COUNTIF($A$2:$A$201,A83)&gt;1,"ID重复",IF(COUNTIF('案件'!$A$2:$A$201,B83)&lt;&gt;1,"案件ID无效","字段齐备"))))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10" t="str">
        <x:f>IF(COUNTA(A84:H84)=0,"",IF(OR(A84="",B84="",C84="",D84="",E84="",H84=""),"缺必填",IF(COUNTIF($A$2:$A$201,A84)&gt;1,"ID重复",IF(COUNTIF('案件'!$A$2:$A$201,B84)&lt;&gt;1,"案件ID无效","字段齐备"))))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10" t="str">
        <x:f>IF(COUNTA(A85:H85)=0,"",IF(OR(A85="",B85="",C85="",D85="",E85="",H85=""),"缺必填",IF(COUNTIF($A$2:$A$201,A85)&gt;1,"ID重复",IF(COUNTIF('案件'!$A$2:$A$201,B85)&lt;&gt;1,"案件ID无效","字段齐备"))))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10" t="str">
        <x:f>IF(COUNTA(A86:H86)=0,"",IF(OR(A86="",B86="",C86="",D86="",E86="",H86=""),"缺必填",IF(COUNTIF($A$2:$A$201,A86)&gt;1,"ID重复",IF(COUNTIF('案件'!$A$2:$A$201,B86)&lt;&gt;1,"案件ID无效","字段齐备"))))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10" t="str">
        <x:f>IF(COUNTA(A87:H87)=0,"",IF(OR(A87="",B87="",C87="",D87="",E87="",H87=""),"缺必填",IF(COUNTIF($A$2:$A$201,A87)&gt;1,"ID重复",IF(COUNTIF('案件'!$A$2:$A$201,B87)&lt;&gt;1,"案件ID无效","字段齐备"))))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10" t="str">
        <x:f>IF(COUNTA(A88:H88)=0,"",IF(OR(A88="",B88="",C88="",D88="",E88="",H88=""),"缺必填",IF(COUNTIF($A$2:$A$201,A88)&gt;1,"ID重复",IF(COUNTIF('案件'!$A$2:$A$201,B88)&lt;&gt;1,"案件ID无效","字段齐备"))))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10" t="str">
        <x:f>IF(COUNTA(A89:H89)=0,"",IF(OR(A89="",B89="",C89="",D89="",E89="",H89=""),"缺必填",IF(COUNTIF($A$2:$A$201,A89)&gt;1,"ID重复",IF(COUNTIF('案件'!$A$2:$A$201,B89)&lt;&gt;1,"案件ID无效","字段齐备"))))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10" t="str">
        <x:f>IF(COUNTA(A90:H90)=0,"",IF(OR(A90="",B90="",C90="",D90="",E90="",H90=""),"缺必填",IF(COUNTIF($A$2:$A$201,A90)&gt;1,"ID重复",IF(COUNTIF('案件'!$A$2:$A$201,B90)&lt;&gt;1,"案件ID无效","字段齐备"))))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10" t="str">
        <x:f>IF(COUNTA(A91:H91)=0,"",IF(OR(A91="",B91="",C91="",D91="",E91="",H91=""),"缺必填",IF(COUNTIF($A$2:$A$201,A91)&gt;1,"ID重复",IF(COUNTIF('案件'!$A$2:$A$201,B91)&lt;&gt;1,"案件ID无效","字段齐备"))))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10" t="str">
        <x:f>IF(COUNTA(A92:H92)=0,"",IF(OR(A92="",B92="",C92="",D92="",E92="",H92=""),"缺必填",IF(COUNTIF($A$2:$A$201,A92)&gt;1,"ID重复",IF(COUNTIF('案件'!$A$2:$A$201,B92)&lt;&gt;1,"案件ID无效","字段齐备"))))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10" t="str">
        <x:f>IF(COUNTA(A93:H93)=0,"",IF(OR(A93="",B93="",C93="",D93="",E93="",H93=""),"缺必填",IF(COUNTIF($A$2:$A$201,A93)&gt;1,"ID重复",IF(COUNTIF('案件'!$A$2:$A$201,B93)&lt;&gt;1,"案件ID无效","字段齐备"))))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10" t="str">
        <x:f>IF(COUNTA(A94:H94)=0,"",IF(OR(A94="",B94="",C94="",D94="",E94="",H94=""),"缺必填",IF(COUNTIF($A$2:$A$201,A94)&gt;1,"ID重复",IF(COUNTIF('案件'!$A$2:$A$201,B94)&lt;&gt;1,"案件ID无效","字段齐备"))))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10" t="str">
        <x:f>IF(COUNTA(A95:H95)=0,"",IF(OR(A95="",B95="",C95="",D95="",E95="",H95=""),"缺必填",IF(COUNTIF($A$2:$A$201,A95)&gt;1,"ID重复",IF(COUNTIF('案件'!$A$2:$A$201,B95)&lt;&gt;1,"案件ID无效","字段齐备"))))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10" t="str">
        <x:f>IF(COUNTA(A96:H96)=0,"",IF(OR(A96="",B96="",C96="",D96="",E96="",H96=""),"缺必填",IF(COUNTIF($A$2:$A$201,A96)&gt;1,"ID重复",IF(COUNTIF('案件'!$A$2:$A$201,B96)&lt;&gt;1,"案件ID无效","字段齐备"))))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10" t="str">
        <x:f>IF(COUNTA(A97:H97)=0,"",IF(OR(A97="",B97="",C97="",D97="",E97="",H97=""),"缺必填",IF(COUNTIF($A$2:$A$201,A97)&gt;1,"ID重复",IF(COUNTIF('案件'!$A$2:$A$201,B97)&lt;&gt;1,"案件ID无效","字段齐备"))))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10" t="str">
        <x:f>IF(COUNTA(A98:H98)=0,"",IF(OR(A98="",B98="",C98="",D98="",E98="",H98=""),"缺必填",IF(COUNTIF($A$2:$A$201,A98)&gt;1,"ID重复",IF(COUNTIF('案件'!$A$2:$A$201,B98)&lt;&gt;1,"案件ID无效","字段齐备"))))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10" t="str">
        <x:f>IF(COUNTA(A99:H99)=0,"",IF(OR(A99="",B99="",C99="",D99="",E99="",H99=""),"缺必填",IF(COUNTIF($A$2:$A$201,A99)&gt;1,"ID重复",IF(COUNTIF('案件'!$A$2:$A$201,B99)&lt;&gt;1,"案件ID无效","字段齐备"))))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10" t="str">
        <x:f>IF(COUNTA(A100:H100)=0,"",IF(OR(A100="",B100="",C100="",D100="",E100="",H100=""),"缺必填",IF(COUNTIF($A$2:$A$201,A100)&gt;1,"ID重复",IF(COUNTIF('案件'!$A$2:$A$201,B100)&lt;&gt;1,"案件ID无效","字段齐备"))))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10" t="str">
        <x:f>IF(COUNTA(A101:H101)=0,"",IF(OR(A101="",B101="",C101="",D101="",E101="",H101=""),"缺必填",IF(COUNTIF($A$2:$A$201,A101)&gt;1,"ID重复",IF(COUNTIF('案件'!$A$2:$A$201,B101)&lt;&gt;1,"案件ID无效","字段齐备"))))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10" t="str">
        <x:f>IF(COUNTA(A102:H102)=0,"",IF(OR(A102="",B102="",C102="",D102="",E102="",H102=""),"缺必填",IF(COUNTIF($A$2:$A$201,A102)&gt;1,"ID重复",IF(COUNTIF('案件'!$A$2:$A$201,B102)&lt;&gt;1,"案件ID无效","字段齐备"))))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10" t="str">
        <x:f>IF(COUNTA(A103:H103)=0,"",IF(OR(A103="",B103="",C103="",D103="",E103="",H103=""),"缺必填",IF(COUNTIF($A$2:$A$201,A103)&gt;1,"ID重复",IF(COUNTIF('案件'!$A$2:$A$201,B103)&lt;&gt;1,"案件ID无效","字段齐备"))))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10" t="str">
        <x:f>IF(COUNTA(A104:H104)=0,"",IF(OR(A104="",B104="",C104="",D104="",E104="",H104=""),"缺必填",IF(COUNTIF($A$2:$A$201,A104)&gt;1,"ID重复",IF(COUNTIF('案件'!$A$2:$A$201,B104)&lt;&gt;1,"案件ID无效","字段齐备"))))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10" t="str">
        <x:f>IF(COUNTA(A105:H105)=0,"",IF(OR(A105="",B105="",C105="",D105="",E105="",H105=""),"缺必填",IF(COUNTIF($A$2:$A$201,A105)&gt;1,"ID重复",IF(COUNTIF('案件'!$A$2:$A$201,B105)&lt;&gt;1,"案件ID无效","字段齐备"))))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10" t="str">
        <x:f>IF(COUNTA(A106:H106)=0,"",IF(OR(A106="",B106="",C106="",D106="",E106="",H106=""),"缺必填",IF(COUNTIF($A$2:$A$201,A106)&gt;1,"ID重复",IF(COUNTIF('案件'!$A$2:$A$201,B106)&lt;&gt;1,"案件ID无效","字段齐备"))))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10" t="str">
        <x:f>IF(COUNTA(A107:H107)=0,"",IF(OR(A107="",B107="",C107="",D107="",E107="",H107=""),"缺必填",IF(COUNTIF($A$2:$A$201,A107)&gt;1,"ID重复",IF(COUNTIF('案件'!$A$2:$A$201,B107)&lt;&gt;1,"案件ID无效","字段齐备"))))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10" t="str">
        <x:f>IF(COUNTA(A108:H108)=0,"",IF(OR(A108="",B108="",C108="",D108="",E108="",H108=""),"缺必填",IF(COUNTIF($A$2:$A$201,A108)&gt;1,"ID重复",IF(COUNTIF('案件'!$A$2:$A$201,B108)&lt;&gt;1,"案件ID无效","字段齐备"))))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10" t="str">
        <x:f>IF(COUNTA(A109:H109)=0,"",IF(OR(A109="",B109="",C109="",D109="",E109="",H109=""),"缺必填",IF(COUNTIF($A$2:$A$201,A109)&gt;1,"ID重复",IF(COUNTIF('案件'!$A$2:$A$201,B109)&lt;&gt;1,"案件ID无效","字段齐备"))))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10" t="str">
        <x:f>IF(COUNTA(A110:H110)=0,"",IF(OR(A110="",B110="",C110="",D110="",E110="",H110=""),"缺必填",IF(COUNTIF($A$2:$A$201,A110)&gt;1,"ID重复",IF(COUNTIF('案件'!$A$2:$A$201,B110)&lt;&gt;1,"案件ID无效","字段齐备"))))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10" t="str">
        <x:f>IF(COUNTA(A111:H111)=0,"",IF(OR(A111="",B111="",C111="",D111="",E111="",H111=""),"缺必填",IF(COUNTIF($A$2:$A$201,A111)&gt;1,"ID重复",IF(COUNTIF('案件'!$A$2:$A$201,B111)&lt;&gt;1,"案件ID无效","字段齐备"))))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10" t="str">
        <x:f>IF(COUNTA(A112:H112)=0,"",IF(OR(A112="",B112="",C112="",D112="",E112="",H112=""),"缺必填",IF(COUNTIF($A$2:$A$201,A112)&gt;1,"ID重复",IF(COUNTIF('案件'!$A$2:$A$201,B112)&lt;&gt;1,"案件ID无效","字段齐备"))))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10" t="str">
        <x:f>IF(COUNTA(A113:H113)=0,"",IF(OR(A113="",B113="",C113="",D113="",E113="",H113=""),"缺必填",IF(COUNTIF($A$2:$A$201,A113)&gt;1,"ID重复",IF(COUNTIF('案件'!$A$2:$A$201,B113)&lt;&gt;1,"案件ID无效","字段齐备"))))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10" t="str">
        <x:f>IF(COUNTA(A114:H114)=0,"",IF(OR(A114="",B114="",C114="",D114="",E114="",H114=""),"缺必填",IF(COUNTIF($A$2:$A$201,A114)&gt;1,"ID重复",IF(COUNTIF('案件'!$A$2:$A$201,B114)&lt;&gt;1,"案件ID无效","字段齐备"))))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10" t="str">
        <x:f>IF(COUNTA(A115:H115)=0,"",IF(OR(A115="",B115="",C115="",D115="",E115="",H115=""),"缺必填",IF(COUNTIF($A$2:$A$201,A115)&gt;1,"ID重复",IF(COUNTIF('案件'!$A$2:$A$201,B115)&lt;&gt;1,"案件ID无效","字段齐备"))))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10" t="str">
        <x:f>IF(COUNTA(A116:H116)=0,"",IF(OR(A116="",B116="",C116="",D116="",E116="",H116=""),"缺必填",IF(COUNTIF($A$2:$A$201,A116)&gt;1,"ID重复",IF(COUNTIF('案件'!$A$2:$A$201,B116)&lt;&gt;1,"案件ID无效","字段齐备"))))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10" t="str">
        <x:f>IF(COUNTA(A117:H117)=0,"",IF(OR(A117="",B117="",C117="",D117="",E117="",H117=""),"缺必填",IF(COUNTIF($A$2:$A$201,A117)&gt;1,"ID重复",IF(COUNTIF('案件'!$A$2:$A$201,B117)&lt;&gt;1,"案件ID无效","字段齐备"))))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10" t="str">
        <x:f>IF(COUNTA(A118:H118)=0,"",IF(OR(A118="",B118="",C118="",D118="",E118="",H118=""),"缺必填",IF(COUNTIF($A$2:$A$201,A118)&gt;1,"ID重复",IF(COUNTIF('案件'!$A$2:$A$201,B118)&lt;&gt;1,"案件ID无效","字段齐备"))))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10" t="str">
        <x:f>IF(COUNTA(A119:H119)=0,"",IF(OR(A119="",B119="",C119="",D119="",E119="",H119=""),"缺必填",IF(COUNTIF($A$2:$A$201,A119)&gt;1,"ID重复",IF(COUNTIF('案件'!$A$2:$A$201,B119)&lt;&gt;1,"案件ID无效","字段齐备"))))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10" t="str">
        <x:f>IF(COUNTA(A120:H120)=0,"",IF(OR(A120="",B120="",C120="",D120="",E120="",H120=""),"缺必填",IF(COUNTIF($A$2:$A$201,A120)&gt;1,"ID重复",IF(COUNTIF('案件'!$A$2:$A$201,B120)&lt;&gt;1,"案件ID无效","字段齐备"))))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10" t="str">
        <x:f>IF(COUNTA(A121:H121)=0,"",IF(OR(A121="",B121="",C121="",D121="",E121="",H121=""),"缺必填",IF(COUNTIF($A$2:$A$201,A121)&gt;1,"ID重复",IF(COUNTIF('案件'!$A$2:$A$201,B121)&lt;&gt;1,"案件ID无效","字段齐备"))))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10" t="str">
        <x:f>IF(COUNTA(A122:H122)=0,"",IF(OR(A122="",B122="",C122="",D122="",E122="",H122=""),"缺必填",IF(COUNTIF($A$2:$A$201,A122)&gt;1,"ID重复",IF(COUNTIF('案件'!$A$2:$A$201,B122)&lt;&gt;1,"案件ID无效","字段齐备"))))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10" t="str">
        <x:f>IF(COUNTA(A123:H123)=0,"",IF(OR(A123="",B123="",C123="",D123="",E123="",H123=""),"缺必填",IF(COUNTIF($A$2:$A$201,A123)&gt;1,"ID重复",IF(COUNTIF('案件'!$A$2:$A$201,B123)&lt;&gt;1,"案件ID无效","字段齐备"))))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10" t="str">
        <x:f>IF(COUNTA(A124:H124)=0,"",IF(OR(A124="",B124="",C124="",D124="",E124="",H124=""),"缺必填",IF(COUNTIF($A$2:$A$201,A124)&gt;1,"ID重复",IF(COUNTIF('案件'!$A$2:$A$201,B124)&lt;&gt;1,"案件ID无效","字段齐备"))))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10" t="str">
        <x:f>IF(COUNTA(A125:H125)=0,"",IF(OR(A125="",B125="",C125="",D125="",E125="",H125=""),"缺必填",IF(COUNTIF($A$2:$A$201,A125)&gt;1,"ID重复",IF(COUNTIF('案件'!$A$2:$A$201,B125)&lt;&gt;1,"案件ID无效","字段齐备"))))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10" t="str">
        <x:f>IF(COUNTA(A126:H126)=0,"",IF(OR(A126="",B126="",C126="",D126="",E126="",H126=""),"缺必填",IF(COUNTIF($A$2:$A$201,A126)&gt;1,"ID重复",IF(COUNTIF('案件'!$A$2:$A$201,B126)&lt;&gt;1,"案件ID无效","字段齐备"))))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10" t="str">
        <x:f>IF(COUNTA(A127:H127)=0,"",IF(OR(A127="",B127="",C127="",D127="",E127="",H127=""),"缺必填",IF(COUNTIF($A$2:$A$201,A127)&gt;1,"ID重复",IF(COUNTIF('案件'!$A$2:$A$201,B127)&lt;&gt;1,"案件ID无效","字段齐备"))))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10" t="str">
        <x:f>IF(COUNTA(A128:H128)=0,"",IF(OR(A128="",B128="",C128="",D128="",E128="",H128=""),"缺必填",IF(COUNTIF($A$2:$A$201,A128)&gt;1,"ID重复",IF(COUNTIF('案件'!$A$2:$A$201,B128)&lt;&gt;1,"案件ID无效","字段齐备"))))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10" t="str">
        <x:f>IF(COUNTA(A129:H129)=0,"",IF(OR(A129="",B129="",C129="",D129="",E129="",H129=""),"缺必填",IF(COUNTIF($A$2:$A$201,A129)&gt;1,"ID重复",IF(COUNTIF('案件'!$A$2:$A$201,B129)&lt;&gt;1,"案件ID无效","字段齐备"))))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10" t="str">
        <x:f>IF(COUNTA(A130:H130)=0,"",IF(OR(A130="",B130="",C130="",D130="",E130="",H130=""),"缺必填",IF(COUNTIF($A$2:$A$201,A130)&gt;1,"ID重复",IF(COUNTIF('案件'!$A$2:$A$201,B130)&lt;&gt;1,"案件ID无效","字段齐备"))))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10" t="str">
        <x:f>IF(COUNTA(A131:H131)=0,"",IF(OR(A131="",B131="",C131="",D131="",E131="",H131=""),"缺必填",IF(COUNTIF($A$2:$A$201,A131)&gt;1,"ID重复",IF(COUNTIF('案件'!$A$2:$A$201,B131)&lt;&gt;1,"案件ID无效","字段齐备"))))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10" t="str">
        <x:f>IF(COUNTA(A132:H132)=0,"",IF(OR(A132="",B132="",C132="",D132="",E132="",H132=""),"缺必填",IF(COUNTIF($A$2:$A$201,A132)&gt;1,"ID重复",IF(COUNTIF('案件'!$A$2:$A$201,B132)&lt;&gt;1,"案件ID无效","字段齐备"))))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10" t="str">
        <x:f>IF(COUNTA(A133:H133)=0,"",IF(OR(A133="",B133="",C133="",D133="",E133="",H133=""),"缺必填",IF(COUNTIF($A$2:$A$201,A133)&gt;1,"ID重复",IF(COUNTIF('案件'!$A$2:$A$201,B133)&lt;&gt;1,"案件ID无效","字段齐备"))))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10" t="str">
        <x:f>IF(COUNTA(A134:H134)=0,"",IF(OR(A134="",B134="",C134="",D134="",E134="",H134=""),"缺必填",IF(COUNTIF($A$2:$A$201,A134)&gt;1,"ID重复",IF(COUNTIF('案件'!$A$2:$A$201,B134)&lt;&gt;1,"案件ID无效","字段齐备"))))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10" t="str">
        <x:f>IF(COUNTA(A135:H135)=0,"",IF(OR(A135="",B135="",C135="",D135="",E135="",H135=""),"缺必填",IF(COUNTIF($A$2:$A$201,A135)&gt;1,"ID重复",IF(COUNTIF('案件'!$A$2:$A$201,B135)&lt;&gt;1,"案件ID无效","字段齐备"))))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10" t="str">
        <x:f>IF(COUNTA(A136:H136)=0,"",IF(OR(A136="",B136="",C136="",D136="",E136="",H136=""),"缺必填",IF(COUNTIF($A$2:$A$201,A136)&gt;1,"ID重复",IF(COUNTIF('案件'!$A$2:$A$201,B136)&lt;&gt;1,"案件ID无效","字段齐备"))))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10" t="str">
        <x:f>IF(COUNTA(A137:H137)=0,"",IF(OR(A137="",B137="",C137="",D137="",E137="",H137=""),"缺必填",IF(COUNTIF($A$2:$A$201,A137)&gt;1,"ID重复",IF(COUNTIF('案件'!$A$2:$A$201,B137)&lt;&gt;1,"案件ID无效","字段齐备"))))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10" t="str">
        <x:f>IF(COUNTA(A138:H138)=0,"",IF(OR(A138="",B138="",C138="",D138="",E138="",H138=""),"缺必填",IF(COUNTIF($A$2:$A$201,A138)&gt;1,"ID重复",IF(COUNTIF('案件'!$A$2:$A$201,B138)&lt;&gt;1,"案件ID无效","字段齐备"))))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10" t="str">
        <x:f>IF(COUNTA(A139:H139)=0,"",IF(OR(A139="",B139="",C139="",D139="",E139="",H139=""),"缺必填",IF(COUNTIF($A$2:$A$201,A139)&gt;1,"ID重复",IF(COUNTIF('案件'!$A$2:$A$201,B139)&lt;&gt;1,"案件ID无效","字段齐备"))))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10" t="str">
        <x:f>IF(COUNTA(A140:H140)=0,"",IF(OR(A140="",B140="",C140="",D140="",E140="",H140=""),"缺必填",IF(COUNTIF($A$2:$A$201,A140)&gt;1,"ID重复",IF(COUNTIF('案件'!$A$2:$A$201,B140)&lt;&gt;1,"案件ID无效","字段齐备"))))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10" t="str">
        <x:f>IF(COUNTA(A141:H141)=0,"",IF(OR(A141="",B141="",C141="",D141="",E141="",H141=""),"缺必填",IF(COUNTIF($A$2:$A$201,A141)&gt;1,"ID重复",IF(COUNTIF('案件'!$A$2:$A$201,B141)&lt;&gt;1,"案件ID无效","字段齐备"))))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10" t="str">
        <x:f>IF(COUNTA(A142:H142)=0,"",IF(OR(A142="",B142="",C142="",D142="",E142="",H142=""),"缺必填",IF(COUNTIF($A$2:$A$201,A142)&gt;1,"ID重复",IF(COUNTIF('案件'!$A$2:$A$201,B142)&lt;&gt;1,"案件ID无效","字段齐备"))))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10" t="str">
        <x:f>IF(COUNTA(A143:H143)=0,"",IF(OR(A143="",B143="",C143="",D143="",E143="",H143=""),"缺必填",IF(COUNTIF($A$2:$A$201,A143)&gt;1,"ID重复",IF(COUNTIF('案件'!$A$2:$A$201,B143)&lt;&gt;1,"案件ID无效","字段齐备"))))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10" t="str">
        <x:f>IF(COUNTA(A144:H144)=0,"",IF(OR(A144="",B144="",C144="",D144="",E144="",H144=""),"缺必填",IF(COUNTIF($A$2:$A$201,A144)&gt;1,"ID重复",IF(COUNTIF('案件'!$A$2:$A$201,B144)&lt;&gt;1,"案件ID无效","字段齐备"))))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10" t="str">
        <x:f>IF(COUNTA(A145:H145)=0,"",IF(OR(A145="",B145="",C145="",D145="",E145="",H145=""),"缺必填",IF(COUNTIF($A$2:$A$201,A145)&gt;1,"ID重复",IF(COUNTIF('案件'!$A$2:$A$201,B145)&lt;&gt;1,"案件ID无效","字段齐备"))))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10" t="str">
        <x:f>IF(COUNTA(A146:H146)=0,"",IF(OR(A146="",B146="",C146="",D146="",E146="",H146=""),"缺必填",IF(COUNTIF($A$2:$A$201,A146)&gt;1,"ID重复",IF(COUNTIF('案件'!$A$2:$A$201,B146)&lt;&gt;1,"案件ID无效","字段齐备"))))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10" t="str">
        <x:f>IF(COUNTA(A147:H147)=0,"",IF(OR(A147="",B147="",C147="",D147="",E147="",H147=""),"缺必填",IF(COUNTIF($A$2:$A$201,A147)&gt;1,"ID重复",IF(COUNTIF('案件'!$A$2:$A$201,B147)&lt;&gt;1,"案件ID无效","字段齐备"))))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10" t="str">
        <x:f>IF(COUNTA(A148:H148)=0,"",IF(OR(A148="",B148="",C148="",D148="",E148="",H148=""),"缺必填",IF(COUNTIF($A$2:$A$201,A148)&gt;1,"ID重复",IF(COUNTIF('案件'!$A$2:$A$201,B148)&lt;&gt;1,"案件ID无效","字段齐备"))))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10" t="str">
        <x:f>IF(COUNTA(A149:H149)=0,"",IF(OR(A149="",B149="",C149="",D149="",E149="",H149=""),"缺必填",IF(COUNTIF($A$2:$A$201,A149)&gt;1,"ID重复",IF(COUNTIF('案件'!$A$2:$A$201,B149)&lt;&gt;1,"案件ID无效","字段齐备"))))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10" t="str">
        <x:f>IF(COUNTA(A150:H150)=0,"",IF(OR(A150="",B150="",C150="",D150="",E150="",H150=""),"缺必填",IF(COUNTIF($A$2:$A$201,A150)&gt;1,"ID重复",IF(COUNTIF('案件'!$A$2:$A$201,B150)&lt;&gt;1,"案件ID无效","字段齐备"))))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10" t="str">
        <x:f>IF(COUNTA(A151:H151)=0,"",IF(OR(A151="",B151="",C151="",D151="",E151="",H151=""),"缺必填",IF(COUNTIF($A$2:$A$201,A151)&gt;1,"ID重复",IF(COUNTIF('案件'!$A$2:$A$201,B151)&lt;&gt;1,"案件ID无效","字段齐备"))))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10" t="str">
        <x:f>IF(COUNTA(A152:H152)=0,"",IF(OR(A152="",B152="",C152="",D152="",E152="",H152=""),"缺必填",IF(COUNTIF($A$2:$A$201,A152)&gt;1,"ID重复",IF(COUNTIF('案件'!$A$2:$A$201,B152)&lt;&gt;1,"案件ID无效","字段齐备"))))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10" t="str">
        <x:f>IF(COUNTA(A153:H153)=0,"",IF(OR(A153="",B153="",C153="",D153="",E153="",H153=""),"缺必填",IF(COUNTIF($A$2:$A$201,A153)&gt;1,"ID重复",IF(COUNTIF('案件'!$A$2:$A$201,B153)&lt;&gt;1,"案件ID无效","字段齐备"))))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10" t="str">
        <x:f>IF(COUNTA(A154:H154)=0,"",IF(OR(A154="",B154="",C154="",D154="",E154="",H154=""),"缺必填",IF(COUNTIF($A$2:$A$201,A154)&gt;1,"ID重复",IF(COUNTIF('案件'!$A$2:$A$201,B154)&lt;&gt;1,"案件ID无效","字段齐备"))))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10" t="str">
        <x:f>IF(COUNTA(A155:H155)=0,"",IF(OR(A155="",B155="",C155="",D155="",E155="",H155=""),"缺必填",IF(COUNTIF($A$2:$A$201,A155)&gt;1,"ID重复",IF(COUNTIF('案件'!$A$2:$A$201,B155)&lt;&gt;1,"案件ID无效","字段齐备"))))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10" t="str">
        <x:f>IF(COUNTA(A156:H156)=0,"",IF(OR(A156="",B156="",C156="",D156="",E156="",H156=""),"缺必填",IF(COUNTIF($A$2:$A$201,A156)&gt;1,"ID重复",IF(COUNTIF('案件'!$A$2:$A$201,B156)&lt;&gt;1,"案件ID无效","字段齐备"))))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10" t="str">
        <x:f>IF(COUNTA(A157:H157)=0,"",IF(OR(A157="",B157="",C157="",D157="",E157="",H157=""),"缺必填",IF(COUNTIF($A$2:$A$201,A157)&gt;1,"ID重复",IF(COUNTIF('案件'!$A$2:$A$201,B157)&lt;&gt;1,"案件ID无效","字段齐备"))))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10" t="str">
        <x:f>IF(COUNTA(A158:H158)=0,"",IF(OR(A158="",B158="",C158="",D158="",E158="",H158=""),"缺必填",IF(COUNTIF($A$2:$A$201,A158)&gt;1,"ID重复",IF(COUNTIF('案件'!$A$2:$A$201,B158)&lt;&gt;1,"案件ID无效","字段齐备"))))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10" t="str">
        <x:f>IF(COUNTA(A159:H159)=0,"",IF(OR(A159="",B159="",C159="",D159="",E159="",H159=""),"缺必填",IF(COUNTIF($A$2:$A$201,A159)&gt;1,"ID重复",IF(COUNTIF('案件'!$A$2:$A$201,B159)&lt;&gt;1,"案件ID无效","字段齐备"))))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10" t="str">
        <x:f>IF(COUNTA(A160:H160)=0,"",IF(OR(A160="",B160="",C160="",D160="",E160="",H160=""),"缺必填",IF(COUNTIF($A$2:$A$201,A160)&gt;1,"ID重复",IF(COUNTIF('案件'!$A$2:$A$201,B160)&lt;&gt;1,"案件ID无效","字段齐备"))))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10" t="str">
        <x:f>IF(COUNTA(A161:H161)=0,"",IF(OR(A161="",B161="",C161="",D161="",E161="",H161=""),"缺必填",IF(COUNTIF($A$2:$A$201,A161)&gt;1,"ID重复",IF(COUNTIF('案件'!$A$2:$A$201,B161)&lt;&gt;1,"案件ID无效","字段齐备"))))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10" t="str">
        <x:f>IF(COUNTA(A162:H162)=0,"",IF(OR(A162="",B162="",C162="",D162="",E162="",H162=""),"缺必填",IF(COUNTIF($A$2:$A$201,A162)&gt;1,"ID重复",IF(COUNTIF('案件'!$A$2:$A$201,B162)&lt;&gt;1,"案件ID无效","字段齐备"))))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10" t="str">
        <x:f>IF(COUNTA(A163:H163)=0,"",IF(OR(A163="",B163="",C163="",D163="",E163="",H163=""),"缺必填",IF(COUNTIF($A$2:$A$201,A163)&gt;1,"ID重复",IF(COUNTIF('案件'!$A$2:$A$201,B163)&lt;&gt;1,"案件ID无效","字段齐备"))))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10" t="str">
        <x:f>IF(COUNTA(A164:H164)=0,"",IF(OR(A164="",B164="",C164="",D164="",E164="",H164=""),"缺必填",IF(COUNTIF($A$2:$A$201,A164)&gt;1,"ID重复",IF(COUNTIF('案件'!$A$2:$A$201,B164)&lt;&gt;1,"案件ID无效","字段齐备"))))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10" t="str">
        <x:f>IF(COUNTA(A165:H165)=0,"",IF(OR(A165="",B165="",C165="",D165="",E165="",H165=""),"缺必填",IF(COUNTIF($A$2:$A$201,A165)&gt;1,"ID重复",IF(COUNTIF('案件'!$A$2:$A$201,B165)&lt;&gt;1,"案件ID无效","字段齐备"))))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10" t="str">
        <x:f>IF(COUNTA(A166:H166)=0,"",IF(OR(A166="",B166="",C166="",D166="",E166="",H166=""),"缺必填",IF(COUNTIF($A$2:$A$201,A166)&gt;1,"ID重复",IF(COUNTIF('案件'!$A$2:$A$201,B166)&lt;&gt;1,"案件ID无效","字段齐备"))))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10" t="str">
        <x:f>IF(COUNTA(A167:H167)=0,"",IF(OR(A167="",B167="",C167="",D167="",E167="",H167=""),"缺必填",IF(COUNTIF($A$2:$A$201,A167)&gt;1,"ID重复",IF(COUNTIF('案件'!$A$2:$A$201,B167)&lt;&gt;1,"案件ID无效","字段齐备"))))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10" t="str">
        <x:f>IF(COUNTA(A168:H168)=0,"",IF(OR(A168="",B168="",C168="",D168="",E168="",H168=""),"缺必填",IF(COUNTIF($A$2:$A$201,A168)&gt;1,"ID重复",IF(COUNTIF('案件'!$A$2:$A$201,B168)&lt;&gt;1,"案件ID无效","字段齐备"))))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10" t="str">
        <x:f>IF(COUNTA(A169:H169)=0,"",IF(OR(A169="",B169="",C169="",D169="",E169="",H169=""),"缺必填",IF(COUNTIF($A$2:$A$201,A169)&gt;1,"ID重复",IF(COUNTIF('案件'!$A$2:$A$201,B169)&lt;&gt;1,"案件ID无效","字段齐备"))))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10" t="str">
        <x:f>IF(COUNTA(A170:H170)=0,"",IF(OR(A170="",B170="",C170="",D170="",E170="",H170=""),"缺必填",IF(COUNTIF($A$2:$A$201,A170)&gt;1,"ID重复",IF(COUNTIF('案件'!$A$2:$A$201,B170)&lt;&gt;1,"案件ID无效","字段齐备"))))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10" t="str">
        <x:f>IF(COUNTA(A171:H171)=0,"",IF(OR(A171="",B171="",C171="",D171="",E171="",H171=""),"缺必填",IF(COUNTIF($A$2:$A$201,A171)&gt;1,"ID重复",IF(COUNTIF('案件'!$A$2:$A$201,B171)&lt;&gt;1,"案件ID无效","字段齐备"))))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10" t="str">
        <x:f>IF(COUNTA(A172:H172)=0,"",IF(OR(A172="",B172="",C172="",D172="",E172="",H172=""),"缺必填",IF(COUNTIF($A$2:$A$201,A172)&gt;1,"ID重复",IF(COUNTIF('案件'!$A$2:$A$201,B172)&lt;&gt;1,"案件ID无效","字段齐备"))))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10" t="str">
        <x:f>IF(COUNTA(A173:H173)=0,"",IF(OR(A173="",B173="",C173="",D173="",E173="",H173=""),"缺必填",IF(COUNTIF($A$2:$A$201,A173)&gt;1,"ID重复",IF(COUNTIF('案件'!$A$2:$A$201,B173)&lt;&gt;1,"案件ID无效","字段齐备"))))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10" t="str">
        <x:f>IF(COUNTA(A174:H174)=0,"",IF(OR(A174="",B174="",C174="",D174="",E174="",H174=""),"缺必填",IF(COUNTIF($A$2:$A$201,A174)&gt;1,"ID重复",IF(COUNTIF('案件'!$A$2:$A$201,B174)&lt;&gt;1,"案件ID无效","字段齐备"))))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10" t="str">
        <x:f>IF(COUNTA(A175:H175)=0,"",IF(OR(A175="",B175="",C175="",D175="",E175="",H175=""),"缺必填",IF(COUNTIF($A$2:$A$201,A175)&gt;1,"ID重复",IF(COUNTIF('案件'!$A$2:$A$201,B175)&lt;&gt;1,"案件ID无效","字段齐备"))))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10" t="str">
        <x:f>IF(COUNTA(A176:H176)=0,"",IF(OR(A176="",B176="",C176="",D176="",E176="",H176=""),"缺必填",IF(COUNTIF($A$2:$A$201,A176)&gt;1,"ID重复",IF(COUNTIF('案件'!$A$2:$A$201,B176)&lt;&gt;1,"案件ID无效","字段齐备"))))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10" t="str">
        <x:f>IF(COUNTA(A177:H177)=0,"",IF(OR(A177="",B177="",C177="",D177="",E177="",H177=""),"缺必填",IF(COUNTIF($A$2:$A$201,A177)&gt;1,"ID重复",IF(COUNTIF('案件'!$A$2:$A$201,B177)&lt;&gt;1,"案件ID无效","字段齐备"))))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10" t="str">
        <x:f>IF(COUNTA(A178:H178)=0,"",IF(OR(A178="",B178="",C178="",D178="",E178="",H178=""),"缺必填",IF(COUNTIF($A$2:$A$201,A178)&gt;1,"ID重复",IF(COUNTIF('案件'!$A$2:$A$201,B178)&lt;&gt;1,"案件ID无效","字段齐备"))))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10" t="str">
        <x:f>IF(COUNTA(A179:H179)=0,"",IF(OR(A179="",B179="",C179="",D179="",E179="",H179=""),"缺必填",IF(COUNTIF($A$2:$A$201,A179)&gt;1,"ID重复",IF(COUNTIF('案件'!$A$2:$A$201,B179)&lt;&gt;1,"案件ID无效","字段齐备"))))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10" t="str">
        <x:f>IF(COUNTA(A180:H180)=0,"",IF(OR(A180="",B180="",C180="",D180="",E180="",H180=""),"缺必填",IF(COUNTIF($A$2:$A$201,A180)&gt;1,"ID重复",IF(COUNTIF('案件'!$A$2:$A$201,B180)&lt;&gt;1,"案件ID无效","字段齐备"))))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10" t="str">
        <x:f>IF(COUNTA(A181:H181)=0,"",IF(OR(A181="",B181="",C181="",D181="",E181="",H181=""),"缺必填",IF(COUNTIF($A$2:$A$201,A181)&gt;1,"ID重复",IF(COUNTIF('案件'!$A$2:$A$201,B181)&lt;&gt;1,"案件ID无效","字段齐备"))))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10" t="str">
        <x:f>IF(COUNTA(A182:H182)=0,"",IF(OR(A182="",B182="",C182="",D182="",E182="",H182=""),"缺必填",IF(COUNTIF($A$2:$A$201,A182)&gt;1,"ID重复",IF(COUNTIF('案件'!$A$2:$A$201,B182)&lt;&gt;1,"案件ID无效","字段齐备"))))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10" t="str">
        <x:f>IF(COUNTA(A183:H183)=0,"",IF(OR(A183="",B183="",C183="",D183="",E183="",H183=""),"缺必填",IF(COUNTIF($A$2:$A$201,A183)&gt;1,"ID重复",IF(COUNTIF('案件'!$A$2:$A$201,B183)&lt;&gt;1,"案件ID无效","字段齐备"))))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10" t="str">
        <x:f>IF(COUNTA(A184:H184)=0,"",IF(OR(A184="",B184="",C184="",D184="",E184="",H184=""),"缺必填",IF(COUNTIF($A$2:$A$201,A184)&gt;1,"ID重复",IF(COUNTIF('案件'!$A$2:$A$201,B184)&lt;&gt;1,"案件ID无效","字段齐备"))))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10" t="str">
        <x:f>IF(COUNTA(A185:H185)=0,"",IF(OR(A185="",B185="",C185="",D185="",E185="",H185=""),"缺必填",IF(COUNTIF($A$2:$A$201,A185)&gt;1,"ID重复",IF(COUNTIF('案件'!$A$2:$A$201,B185)&lt;&gt;1,"案件ID无效","字段齐备"))))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10" t="str">
        <x:f>IF(COUNTA(A186:H186)=0,"",IF(OR(A186="",B186="",C186="",D186="",E186="",H186=""),"缺必填",IF(COUNTIF($A$2:$A$201,A186)&gt;1,"ID重复",IF(COUNTIF('案件'!$A$2:$A$201,B186)&lt;&gt;1,"案件ID无效","字段齐备"))))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10" t="str">
        <x:f>IF(COUNTA(A187:H187)=0,"",IF(OR(A187="",B187="",C187="",D187="",E187="",H187=""),"缺必填",IF(COUNTIF($A$2:$A$201,A187)&gt;1,"ID重复",IF(COUNTIF('案件'!$A$2:$A$201,B187)&lt;&gt;1,"案件ID无效","字段齐备"))))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10" t="str">
        <x:f>IF(COUNTA(A188:H188)=0,"",IF(OR(A188="",B188="",C188="",D188="",E188="",H188=""),"缺必填",IF(COUNTIF($A$2:$A$201,A188)&gt;1,"ID重复",IF(COUNTIF('案件'!$A$2:$A$201,B188)&lt;&gt;1,"案件ID无效","字段齐备"))))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10" t="str">
        <x:f>IF(COUNTA(A189:H189)=0,"",IF(OR(A189="",B189="",C189="",D189="",E189="",H189=""),"缺必填",IF(COUNTIF($A$2:$A$201,A189)&gt;1,"ID重复",IF(COUNTIF('案件'!$A$2:$A$201,B189)&lt;&gt;1,"案件ID无效","字段齐备"))))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10" t="str">
        <x:f>IF(COUNTA(A190:H190)=0,"",IF(OR(A190="",B190="",C190="",D190="",E190="",H190=""),"缺必填",IF(COUNTIF($A$2:$A$201,A190)&gt;1,"ID重复",IF(COUNTIF('案件'!$A$2:$A$201,B190)&lt;&gt;1,"案件ID无效","字段齐备"))))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10" t="str">
        <x:f>IF(COUNTA(A191:H191)=0,"",IF(OR(A191="",B191="",C191="",D191="",E191="",H191=""),"缺必填",IF(COUNTIF($A$2:$A$201,A191)&gt;1,"ID重复",IF(COUNTIF('案件'!$A$2:$A$201,B191)&lt;&gt;1,"案件ID无效","字段齐备"))))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10" t="str">
        <x:f>IF(COUNTA(A192:H192)=0,"",IF(OR(A192="",B192="",C192="",D192="",E192="",H192=""),"缺必填",IF(COUNTIF($A$2:$A$201,A192)&gt;1,"ID重复",IF(COUNTIF('案件'!$A$2:$A$201,B192)&lt;&gt;1,"案件ID无效","字段齐备"))))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10" t="str">
        <x:f>IF(COUNTA(A193:H193)=0,"",IF(OR(A193="",B193="",C193="",D193="",E193="",H193=""),"缺必填",IF(COUNTIF($A$2:$A$201,A193)&gt;1,"ID重复",IF(COUNTIF('案件'!$A$2:$A$201,B193)&lt;&gt;1,"案件ID无效","字段齐备"))))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10" t="str">
        <x:f>IF(COUNTA(A194:H194)=0,"",IF(OR(A194="",B194="",C194="",D194="",E194="",H194=""),"缺必填",IF(COUNTIF($A$2:$A$201,A194)&gt;1,"ID重复",IF(COUNTIF('案件'!$A$2:$A$201,B194)&lt;&gt;1,"案件ID无效","字段齐备"))))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10" t="str">
        <x:f>IF(COUNTA(A195:H195)=0,"",IF(OR(A195="",B195="",C195="",D195="",E195="",H195=""),"缺必填",IF(COUNTIF($A$2:$A$201,A195)&gt;1,"ID重复",IF(COUNTIF('案件'!$A$2:$A$201,B195)&lt;&gt;1,"案件ID无效","字段齐备"))))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10" t="str">
        <x:f>IF(COUNTA(A196:H196)=0,"",IF(OR(A196="",B196="",C196="",D196="",E196="",H196=""),"缺必填",IF(COUNTIF($A$2:$A$201,A196)&gt;1,"ID重复",IF(COUNTIF('案件'!$A$2:$A$201,B196)&lt;&gt;1,"案件ID无效","字段齐备"))))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10" t="str">
        <x:f>IF(COUNTA(A197:H197)=0,"",IF(OR(A197="",B197="",C197="",D197="",E197="",H197=""),"缺必填",IF(COUNTIF($A$2:$A$201,A197)&gt;1,"ID重复",IF(COUNTIF('案件'!$A$2:$A$201,B197)&lt;&gt;1,"案件ID无效","字段齐备"))))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10" t="str">
        <x:f>IF(COUNTA(A198:H198)=0,"",IF(OR(A198="",B198="",C198="",D198="",E198="",H198=""),"缺必填",IF(COUNTIF($A$2:$A$201,A198)&gt;1,"ID重复",IF(COUNTIF('案件'!$A$2:$A$201,B198)&lt;&gt;1,"案件ID无效","字段齐备"))))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10" t="str">
        <x:f>IF(COUNTA(A199:H199)=0,"",IF(OR(A199="",B199="",C199="",D199="",E199="",H199=""),"缺必填",IF(COUNTIF($A$2:$A$201,A199)&gt;1,"ID重复",IF(COUNTIF('案件'!$A$2:$A$201,B199)&lt;&gt;1,"案件ID无效","字段齐备"))))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10" t="str">
        <x:f>IF(COUNTA(A200:H200)=0,"",IF(OR(A200="",B200="",C200="",D200="",E200="",H200=""),"缺必填",IF(COUNTIF($A$2:$A$201,A200)&gt;1,"ID重复",IF(COUNTIF('案件'!$A$2:$A$201,B200)&lt;&gt;1,"案件ID无效","字段齐备"))))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10" t="str">
        <x:f>IF(COUNTA(A201:H201)=0,"",IF(OR(A201="",B201="",C201="",D201="",E201="",H201=""),"缺必填",IF(COUNTIF($A$2:$A$201,A201)&gt;1,"ID重复",IF(COUNTIF('案件'!$A$2:$A$201,B201)&lt;&gt;1,"案件ID无效","字段齐备"))))</x:f>
      </x:c>
    </x:row>
  </x:sheetData>
  <x:conditionalFormatting sqref="A2:I201">
    <x:cfRule type="expression" dxfId="4" priority="1">
      <x:formula>AND($I2&lt;&gt;"",$I2&lt;&gt;"字段齐备")</x:formula>
    </x:cfRule>
  </x:conditionalFormatting>
  <x:dataValidations count="1">
    <x:dataValidation type="list" sqref="C2:C201">
      <x:formula1>"自然人,单位,组织,银行账户,支付账户,通信账号,设备,资金批次,地点,其他"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22126c82f146c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0" hidden="0" customWidth="1"/>
    <x:col min="12" max="12" width="22" hidden="0" customWidth="1"/>
    <x:col min="13" max="13" width="22" hidden="0" customWidth="1"/>
    <x:col min="14" max="14" width="20" hidden="0" customWidth="1"/>
  </x:cols>
  <x:sheetData>
    <x:row r="1" ht="52" customHeight="1">
      <x:c r="A1" s="6" t="str">
        <x:v>事件ID</x:v>
      </x:c>
      <x:c r="B1" s="6" t="str">
        <x:v>任务ID</x:v>
      </x:c>
      <x:c r="C1" s="6" t="str">
        <x:v>事件类型</x:v>
      </x:c>
      <x:c r="D1" s="6" t="str">
        <x:v>主要行为人ID</x:v>
      </x:c>
      <x:c r="E1" s="6" t="str">
        <x:v>行为描述</x:v>
      </x:c>
      <x:c r="F1" s="6" t="str">
        <x:v>对象ID</x:v>
      </x:c>
      <x:c r="G1" s="6" t="str">
        <x:v>开始时间原文</x:v>
      </x:c>
      <x:c r="H1" s="6" t="str">
        <x:v>结束时间原文</x:v>
      </x:c>
      <x:c r="I1" s="6" t="str">
        <x:v>时间精度时区</x:v>
      </x:c>
      <x:c r="J1" s="6" t="str">
        <x:v>地点ID</x:v>
      </x:c>
      <x:c r="K1" s="6" t="str">
        <x:v>来源片段ID</x:v>
      </x:c>
      <x:c r="L1" s="6" t="str">
        <x:v>事实支持状态</x:v>
      </x:c>
      <x:c r="M1" s="6" t="str">
        <x:v>缺失冲突说明</x:v>
      </x:c>
      <x:c r="N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10" t="str">
        <x:f>IF(COUNTA(A2:M2)=0,"",IF(OR(A2="",B2="",C2="",D2="",E2="",F2="",G2="",I2="",J2="",K2="",L2=""),"缺必填",IF(COUNTIF($A$2:$A$201,A2)&gt;1,"ID重复",IF(COUNTIF('任务登记'!$A$2:$A$201,B2)&lt;&gt;1,"任务ID无效","字段齐备"))))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10" t="str">
        <x:f>IF(COUNTA(A3:M3)=0,"",IF(OR(A3="",B3="",C3="",D3="",E3="",F3="",G3="",I3="",J3="",K3="",L3=""),"缺必填",IF(COUNTIF($A$2:$A$201,A3)&gt;1,"ID重复",IF(COUNTIF('任务登记'!$A$2:$A$201,B3)&lt;&gt;1,"任务ID无效","字段齐备"))))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10" t="str">
        <x:f>IF(COUNTA(A4:M4)=0,"",IF(OR(A4="",B4="",C4="",D4="",E4="",F4="",G4="",I4="",J4="",K4="",L4=""),"缺必填",IF(COUNTIF($A$2:$A$201,A4)&gt;1,"ID重复",IF(COUNTIF('任务登记'!$A$2:$A$201,B4)&lt;&gt;1,"任务ID无效","字段齐备"))))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10" t="str">
        <x:f>IF(COUNTA(A5:M5)=0,"",IF(OR(A5="",B5="",C5="",D5="",E5="",F5="",G5="",I5="",J5="",K5="",L5=""),"缺必填",IF(COUNTIF($A$2:$A$201,A5)&gt;1,"ID重复",IF(COUNTIF('任务登记'!$A$2:$A$201,B5)&lt;&gt;1,"任务ID无效","字段齐备"))))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10" t="str">
        <x:f>IF(COUNTA(A6:M6)=0,"",IF(OR(A6="",B6="",C6="",D6="",E6="",F6="",G6="",I6="",J6="",K6="",L6=""),"缺必填",IF(COUNTIF($A$2:$A$201,A6)&gt;1,"ID重复",IF(COUNTIF('任务登记'!$A$2:$A$201,B6)&lt;&gt;1,"任务ID无效","字段齐备"))))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10" t="str">
        <x:f>IF(COUNTA(A7:M7)=0,"",IF(OR(A7="",B7="",C7="",D7="",E7="",F7="",G7="",I7="",J7="",K7="",L7=""),"缺必填",IF(COUNTIF($A$2:$A$201,A7)&gt;1,"ID重复",IF(COUNTIF('任务登记'!$A$2:$A$201,B7)&lt;&gt;1,"任务ID无效","字段齐备"))))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10" t="str">
        <x:f>IF(COUNTA(A8:M8)=0,"",IF(OR(A8="",B8="",C8="",D8="",E8="",F8="",G8="",I8="",J8="",K8="",L8=""),"缺必填",IF(COUNTIF($A$2:$A$201,A8)&gt;1,"ID重复",IF(COUNTIF('任务登记'!$A$2:$A$201,B8)&lt;&gt;1,"任务ID无效","字段齐备"))))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10" t="str">
        <x:f>IF(COUNTA(A9:M9)=0,"",IF(OR(A9="",B9="",C9="",D9="",E9="",F9="",G9="",I9="",J9="",K9="",L9=""),"缺必填",IF(COUNTIF($A$2:$A$201,A9)&gt;1,"ID重复",IF(COUNTIF('任务登记'!$A$2:$A$201,B9)&lt;&gt;1,"任务ID无效","字段齐备"))))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10" t="str">
        <x:f>IF(COUNTA(A10:M10)=0,"",IF(OR(A10="",B10="",C10="",D10="",E10="",F10="",G10="",I10="",J10="",K10="",L10=""),"缺必填",IF(COUNTIF($A$2:$A$201,A10)&gt;1,"ID重复",IF(COUNTIF('任务登记'!$A$2:$A$201,B10)&lt;&gt;1,"任务ID无效","字段齐备"))))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10" t="str">
        <x:f>IF(COUNTA(A11:M11)=0,"",IF(OR(A11="",B11="",C11="",D11="",E11="",F11="",G11="",I11="",J11="",K11="",L11=""),"缺必填",IF(COUNTIF($A$2:$A$201,A11)&gt;1,"ID重复",IF(COUNTIF('任务登记'!$A$2:$A$201,B11)&lt;&gt;1,"任务ID无效","字段齐备"))))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10" t="str">
        <x:f>IF(COUNTA(A12:M12)=0,"",IF(OR(A12="",B12="",C12="",D12="",E12="",F12="",G12="",I12="",J12="",K12="",L12=""),"缺必填",IF(COUNTIF($A$2:$A$201,A12)&gt;1,"ID重复",IF(COUNTIF('任务登记'!$A$2:$A$201,B12)&lt;&gt;1,"任务ID无效","字段齐备"))))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10" t="str">
        <x:f>IF(COUNTA(A13:M13)=0,"",IF(OR(A13="",B13="",C13="",D13="",E13="",F13="",G13="",I13="",J13="",K13="",L13=""),"缺必填",IF(COUNTIF($A$2:$A$201,A13)&gt;1,"ID重复",IF(COUNTIF('任务登记'!$A$2:$A$201,B13)&lt;&gt;1,"任务ID无效","字段齐备"))))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10" t="str">
        <x:f>IF(COUNTA(A14:M14)=0,"",IF(OR(A14="",B14="",C14="",D14="",E14="",F14="",G14="",I14="",J14="",K14="",L14=""),"缺必填",IF(COUNTIF($A$2:$A$201,A14)&gt;1,"ID重复",IF(COUNTIF('任务登记'!$A$2:$A$201,B14)&lt;&gt;1,"任务ID无效","字段齐备"))))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10" t="str">
        <x:f>IF(COUNTA(A15:M15)=0,"",IF(OR(A15="",B15="",C15="",D15="",E15="",F15="",G15="",I15="",J15="",K15="",L15=""),"缺必填",IF(COUNTIF($A$2:$A$201,A15)&gt;1,"ID重复",IF(COUNTIF('任务登记'!$A$2:$A$201,B15)&lt;&gt;1,"任务ID无效","字段齐备"))))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10" t="str">
        <x:f>IF(COUNTA(A16:M16)=0,"",IF(OR(A16="",B16="",C16="",D16="",E16="",F16="",G16="",I16="",J16="",K16="",L16=""),"缺必填",IF(COUNTIF($A$2:$A$201,A16)&gt;1,"ID重复",IF(COUNTIF('任务登记'!$A$2:$A$201,B16)&lt;&gt;1,"任务ID无效","字段齐备"))))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10" t="str">
        <x:f>IF(COUNTA(A17:M17)=0,"",IF(OR(A17="",B17="",C17="",D17="",E17="",F17="",G17="",I17="",J17="",K17="",L17=""),"缺必填",IF(COUNTIF($A$2:$A$201,A17)&gt;1,"ID重复",IF(COUNTIF('任务登记'!$A$2:$A$201,B17)&lt;&gt;1,"任务ID无效","字段齐备"))))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10" t="str">
        <x:f>IF(COUNTA(A18:M18)=0,"",IF(OR(A18="",B18="",C18="",D18="",E18="",F18="",G18="",I18="",J18="",K18="",L18=""),"缺必填",IF(COUNTIF($A$2:$A$201,A18)&gt;1,"ID重复",IF(COUNTIF('任务登记'!$A$2:$A$201,B18)&lt;&gt;1,"任务ID无效","字段齐备"))))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10" t="str">
        <x:f>IF(COUNTA(A19:M19)=0,"",IF(OR(A19="",B19="",C19="",D19="",E19="",F19="",G19="",I19="",J19="",K19="",L19=""),"缺必填",IF(COUNTIF($A$2:$A$201,A19)&gt;1,"ID重复",IF(COUNTIF('任务登记'!$A$2:$A$201,B19)&lt;&gt;1,"任务ID无效","字段齐备"))))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10" t="str">
        <x:f>IF(COUNTA(A20:M20)=0,"",IF(OR(A20="",B20="",C20="",D20="",E20="",F20="",G20="",I20="",J20="",K20="",L20=""),"缺必填",IF(COUNTIF($A$2:$A$201,A20)&gt;1,"ID重复",IF(COUNTIF('任务登记'!$A$2:$A$201,B20)&lt;&gt;1,"任务ID无效","字段齐备"))))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10" t="str">
        <x:f>IF(COUNTA(A21:M21)=0,"",IF(OR(A21="",B21="",C21="",D21="",E21="",F21="",G21="",I21="",J21="",K21="",L21=""),"缺必填",IF(COUNTIF($A$2:$A$201,A21)&gt;1,"ID重复",IF(COUNTIF('任务登记'!$A$2:$A$201,B21)&lt;&gt;1,"任务ID无效","字段齐备"))))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10" t="str">
        <x:f>IF(COUNTA(A22:M22)=0,"",IF(OR(A22="",B22="",C22="",D22="",E22="",F22="",G22="",I22="",J22="",K22="",L22=""),"缺必填",IF(COUNTIF($A$2:$A$201,A22)&gt;1,"ID重复",IF(COUNTIF('任务登记'!$A$2:$A$201,B22)&lt;&gt;1,"任务ID无效","字段齐备"))))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10" t="str">
        <x:f>IF(COUNTA(A23:M23)=0,"",IF(OR(A23="",B23="",C23="",D23="",E23="",F23="",G23="",I23="",J23="",K23="",L23=""),"缺必填",IF(COUNTIF($A$2:$A$201,A23)&gt;1,"ID重复",IF(COUNTIF('任务登记'!$A$2:$A$201,B23)&lt;&gt;1,"任务ID无效","字段齐备"))))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10" t="str">
        <x:f>IF(COUNTA(A24:M24)=0,"",IF(OR(A24="",B24="",C24="",D24="",E24="",F24="",G24="",I24="",J24="",K24="",L24=""),"缺必填",IF(COUNTIF($A$2:$A$201,A24)&gt;1,"ID重复",IF(COUNTIF('任务登记'!$A$2:$A$201,B24)&lt;&gt;1,"任务ID无效","字段齐备"))))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10" t="str">
        <x:f>IF(COUNTA(A25:M25)=0,"",IF(OR(A25="",B25="",C25="",D25="",E25="",F25="",G25="",I25="",J25="",K25="",L25=""),"缺必填",IF(COUNTIF($A$2:$A$201,A25)&gt;1,"ID重复",IF(COUNTIF('任务登记'!$A$2:$A$201,B25)&lt;&gt;1,"任务ID无效","字段齐备"))))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10" t="str">
        <x:f>IF(COUNTA(A26:M26)=0,"",IF(OR(A26="",B26="",C26="",D26="",E26="",F26="",G26="",I26="",J26="",K26="",L26=""),"缺必填",IF(COUNTIF($A$2:$A$201,A26)&gt;1,"ID重复",IF(COUNTIF('任务登记'!$A$2:$A$201,B26)&lt;&gt;1,"任务ID无效","字段齐备"))))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10" t="str">
        <x:f>IF(COUNTA(A27:M27)=0,"",IF(OR(A27="",B27="",C27="",D27="",E27="",F27="",G27="",I27="",J27="",K27="",L27=""),"缺必填",IF(COUNTIF($A$2:$A$201,A27)&gt;1,"ID重复",IF(COUNTIF('任务登记'!$A$2:$A$201,B27)&lt;&gt;1,"任务ID无效","字段齐备"))))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10" t="str">
        <x:f>IF(COUNTA(A28:M28)=0,"",IF(OR(A28="",B28="",C28="",D28="",E28="",F28="",G28="",I28="",J28="",K28="",L28=""),"缺必填",IF(COUNTIF($A$2:$A$201,A28)&gt;1,"ID重复",IF(COUNTIF('任务登记'!$A$2:$A$201,B28)&lt;&gt;1,"任务ID无效","字段齐备"))))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10" t="str">
        <x:f>IF(COUNTA(A29:M29)=0,"",IF(OR(A29="",B29="",C29="",D29="",E29="",F29="",G29="",I29="",J29="",K29="",L29=""),"缺必填",IF(COUNTIF($A$2:$A$201,A29)&gt;1,"ID重复",IF(COUNTIF('任务登记'!$A$2:$A$201,B29)&lt;&gt;1,"任务ID无效","字段齐备"))))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10" t="str">
        <x:f>IF(COUNTA(A30:M30)=0,"",IF(OR(A30="",B30="",C30="",D30="",E30="",F30="",G30="",I30="",J30="",K30="",L30=""),"缺必填",IF(COUNTIF($A$2:$A$201,A30)&gt;1,"ID重复",IF(COUNTIF('任务登记'!$A$2:$A$201,B30)&lt;&gt;1,"任务ID无效","字段齐备"))))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10" t="str">
        <x:f>IF(COUNTA(A31:M31)=0,"",IF(OR(A31="",B31="",C31="",D31="",E31="",F31="",G31="",I31="",J31="",K31="",L31=""),"缺必填",IF(COUNTIF($A$2:$A$201,A31)&gt;1,"ID重复",IF(COUNTIF('任务登记'!$A$2:$A$201,B31)&lt;&gt;1,"任务ID无效","字段齐备"))))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10" t="str">
        <x:f>IF(COUNTA(A32:M32)=0,"",IF(OR(A32="",B32="",C32="",D32="",E32="",F32="",G32="",I32="",J32="",K32="",L32=""),"缺必填",IF(COUNTIF($A$2:$A$201,A32)&gt;1,"ID重复",IF(COUNTIF('任务登记'!$A$2:$A$201,B32)&lt;&gt;1,"任务ID无效","字段齐备"))))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10" t="str">
        <x:f>IF(COUNTA(A33:M33)=0,"",IF(OR(A33="",B33="",C33="",D33="",E33="",F33="",G33="",I33="",J33="",K33="",L33=""),"缺必填",IF(COUNTIF($A$2:$A$201,A33)&gt;1,"ID重复",IF(COUNTIF('任务登记'!$A$2:$A$201,B33)&lt;&gt;1,"任务ID无效","字段齐备"))))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10" t="str">
        <x:f>IF(COUNTA(A34:M34)=0,"",IF(OR(A34="",B34="",C34="",D34="",E34="",F34="",G34="",I34="",J34="",K34="",L34=""),"缺必填",IF(COUNTIF($A$2:$A$201,A34)&gt;1,"ID重复",IF(COUNTIF('任务登记'!$A$2:$A$201,B34)&lt;&gt;1,"任务ID无效","字段齐备"))))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10" t="str">
        <x:f>IF(COUNTA(A35:M35)=0,"",IF(OR(A35="",B35="",C35="",D35="",E35="",F35="",G35="",I35="",J35="",K35="",L35=""),"缺必填",IF(COUNTIF($A$2:$A$201,A35)&gt;1,"ID重复",IF(COUNTIF('任务登记'!$A$2:$A$201,B35)&lt;&gt;1,"任务ID无效","字段齐备"))))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10" t="str">
        <x:f>IF(COUNTA(A36:M36)=0,"",IF(OR(A36="",B36="",C36="",D36="",E36="",F36="",G36="",I36="",J36="",K36="",L36=""),"缺必填",IF(COUNTIF($A$2:$A$201,A36)&gt;1,"ID重复",IF(COUNTIF('任务登记'!$A$2:$A$201,B36)&lt;&gt;1,"任务ID无效","字段齐备"))))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10" t="str">
        <x:f>IF(COUNTA(A37:M37)=0,"",IF(OR(A37="",B37="",C37="",D37="",E37="",F37="",G37="",I37="",J37="",K37="",L37=""),"缺必填",IF(COUNTIF($A$2:$A$201,A37)&gt;1,"ID重复",IF(COUNTIF('任务登记'!$A$2:$A$201,B37)&lt;&gt;1,"任务ID无效","字段齐备"))))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10" t="str">
        <x:f>IF(COUNTA(A38:M38)=0,"",IF(OR(A38="",B38="",C38="",D38="",E38="",F38="",G38="",I38="",J38="",K38="",L38=""),"缺必填",IF(COUNTIF($A$2:$A$201,A38)&gt;1,"ID重复",IF(COUNTIF('任务登记'!$A$2:$A$201,B38)&lt;&gt;1,"任务ID无效","字段齐备"))))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10" t="str">
        <x:f>IF(COUNTA(A39:M39)=0,"",IF(OR(A39="",B39="",C39="",D39="",E39="",F39="",G39="",I39="",J39="",K39="",L39=""),"缺必填",IF(COUNTIF($A$2:$A$201,A39)&gt;1,"ID重复",IF(COUNTIF('任务登记'!$A$2:$A$201,B39)&lt;&gt;1,"任务ID无效","字段齐备"))))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10" t="str">
        <x:f>IF(COUNTA(A40:M40)=0,"",IF(OR(A40="",B40="",C40="",D40="",E40="",F40="",G40="",I40="",J40="",K40="",L40=""),"缺必填",IF(COUNTIF($A$2:$A$201,A40)&gt;1,"ID重复",IF(COUNTIF('任务登记'!$A$2:$A$201,B40)&lt;&gt;1,"任务ID无效","字段齐备"))))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10" t="str">
        <x:f>IF(COUNTA(A41:M41)=0,"",IF(OR(A41="",B41="",C41="",D41="",E41="",F41="",G41="",I41="",J41="",K41="",L41=""),"缺必填",IF(COUNTIF($A$2:$A$201,A41)&gt;1,"ID重复",IF(COUNTIF('任务登记'!$A$2:$A$201,B41)&lt;&gt;1,"任务ID无效","字段齐备"))))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10" t="str">
        <x:f>IF(COUNTA(A42:M42)=0,"",IF(OR(A42="",B42="",C42="",D42="",E42="",F42="",G42="",I42="",J42="",K42="",L42=""),"缺必填",IF(COUNTIF($A$2:$A$201,A42)&gt;1,"ID重复",IF(COUNTIF('任务登记'!$A$2:$A$201,B42)&lt;&gt;1,"任务ID无效","字段齐备"))))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10" t="str">
        <x:f>IF(COUNTA(A43:M43)=0,"",IF(OR(A43="",B43="",C43="",D43="",E43="",F43="",G43="",I43="",J43="",K43="",L43=""),"缺必填",IF(COUNTIF($A$2:$A$201,A43)&gt;1,"ID重复",IF(COUNTIF('任务登记'!$A$2:$A$201,B43)&lt;&gt;1,"任务ID无效","字段齐备"))))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10" t="str">
        <x:f>IF(COUNTA(A44:M44)=0,"",IF(OR(A44="",B44="",C44="",D44="",E44="",F44="",G44="",I44="",J44="",K44="",L44=""),"缺必填",IF(COUNTIF($A$2:$A$201,A44)&gt;1,"ID重复",IF(COUNTIF('任务登记'!$A$2:$A$201,B44)&lt;&gt;1,"任务ID无效","字段齐备"))))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10" t="str">
        <x:f>IF(COUNTA(A45:M45)=0,"",IF(OR(A45="",B45="",C45="",D45="",E45="",F45="",G45="",I45="",J45="",K45="",L45=""),"缺必填",IF(COUNTIF($A$2:$A$201,A45)&gt;1,"ID重复",IF(COUNTIF('任务登记'!$A$2:$A$201,B45)&lt;&gt;1,"任务ID无效","字段齐备"))))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10" t="str">
        <x:f>IF(COUNTA(A46:M46)=0,"",IF(OR(A46="",B46="",C46="",D46="",E46="",F46="",G46="",I46="",J46="",K46="",L46=""),"缺必填",IF(COUNTIF($A$2:$A$201,A46)&gt;1,"ID重复",IF(COUNTIF('任务登记'!$A$2:$A$201,B46)&lt;&gt;1,"任务ID无效","字段齐备"))))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10" t="str">
        <x:f>IF(COUNTA(A47:M47)=0,"",IF(OR(A47="",B47="",C47="",D47="",E47="",F47="",G47="",I47="",J47="",K47="",L47=""),"缺必填",IF(COUNTIF($A$2:$A$201,A47)&gt;1,"ID重复",IF(COUNTIF('任务登记'!$A$2:$A$201,B47)&lt;&gt;1,"任务ID无效","字段齐备"))))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10" t="str">
        <x:f>IF(COUNTA(A48:M48)=0,"",IF(OR(A48="",B48="",C48="",D48="",E48="",F48="",G48="",I48="",J48="",K48="",L48=""),"缺必填",IF(COUNTIF($A$2:$A$201,A48)&gt;1,"ID重复",IF(COUNTIF('任务登记'!$A$2:$A$201,B48)&lt;&gt;1,"任务ID无效","字段齐备"))))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10" t="str">
        <x:f>IF(COUNTA(A49:M49)=0,"",IF(OR(A49="",B49="",C49="",D49="",E49="",F49="",G49="",I49="",J49="",K49="",L49=""),"缺必填",IF(COUNTIF($A$2:$A$201,A49)&gt;1,"ID重复",IF(COUNTIF('任务登记'!$A$2:$A$201,B49)&lt;&gt;1,"任务ID无效","字段齐备"))))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10" t="str">
        <x:f>IF(COUNTA(A50:M50)=0,"",IF(OR(A50="",B50="",C50="",D50="",E50="",F50="",G50="",I50="",J50="",K50="",L50=""),"缺必填",IF(COUNTIF($A$2:$A$201,A50)&gt;1,"ID重复",IF(COUNTIF('任务登记'!$A$2:$A$201,B50)&lt;&gt;1,"任务ID无效","字段齐备"))))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10" t="str">
        <x:f>IF(COUNTA(A51:M51)=0,"",IF(OR(A51="",B51="",C51="",D51="",E51="",F51="",G51="",I51="",J51="",K51="",L51=""),"缺必填",IF(COUNTIF($A$2:$A$201,A51)&gt;1,"ID重复",IF(COUNTIF('任务登记'!$A$2:$A$201,B51)&lt;&gt;1,"任务ID无效","字段齐备"))))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10" t="str">
        <x:f>IF(COUNTA(A52:M52)=0,"",IF(OR(A52="",B52="",C52="",D52="",E52="",F52="",G52="",I52="",J52="",K52="",L52=""),"缺必填",IF(COUNTIF($A$2:$A$201,A52)&gt;1,"ID重复",IF(COUNTIF('任务登记'!$A$2:$A$201,B52)&lt;&gt;1,"任务ID无效","字段齐备"))))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10" t="str">
        <x:f>IF(COUNTA(A53:M53)=0,"",IF(OR(A53="",B53="",C53="",D53="",E53="",F53="",G53="",I53="",J53="",K53="",L53=""),"缺必填",IF(COUNTIF($A$2:$A$201,A53)&gt;1,"ID重复",IF(COUNTIF('任务登记'!$A$2:$A$201,B53)&lt;&gt;1,"任务ID无效","字段齐备"))))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10" t="str">
        <x:f>IF(COUNTA(A54:M54)=0,"",IF(OR(A54="",B54="",C54="",D54="",E54="",F54="",G54="",I54="",J54="",K54="",L54=""),"缺必填",IF(COUNTIF($A$2:$A$201,A54)&gt;1,"ID重复",IF(COUNTIF('任务登记'!$A$2:$A$201,B54)&lt;&gt;1,"任务ID无效","字段齐备"))))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10" t="str">
        <x:f>IF(COUNTA(A55:M55)=0,"",IF(OR(A55="",B55="",C55="",D55="",E55="",F55="",G55="",I55="",J55="",K55="",L55=""),"缺必填",IF(COUNTIF($A$2:$A$201,A55)&gt;1,"ID重复",IF(COUNTIF('任务登记'!$A$2:$A$201,B55)&lt;&gt;1,"任务ID无效","字段齐备"))))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10" t="str">
        <x:f>IF(COUNTA(A56:M56)=0,"",IF(OR(A56="",B56="",C56="",D56="",E56="",F56="",G56="",I56="",J56="",K56="",L56=""),"缺必填",IF(COUNTIF($A$2:$A$201,A56)&gt;1,"ID重复",IF(COUNTIF('任务登记'!$A$2:$A$201,B56)&lt;&gt;1,"任务ID无效","字段齐备"))))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10" t="str">
        <x:f>IF(COUNTA(A57:M57)=0,"",IF(OR(A57="",B57="",C57="",D57="",E57="",F57="",G57="",I57="",J57="",K57="",L57=""),"缺必填",IF(COUNTIF($A$2:$A$201,A57)&gt;1,"ID重复",IF(COUNTIF('任务登记'!$A$2:$A$201,B57)&lt;&gt;1,"任务ID无效","字段齐备"))))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10" t="str">
        <x:f>IF(COUNTA(A58:M58)=0,"",IF(OR(A58="",B58="",C58="",D58="",E58="",F58="",G58="",I58="",J58="",K58="",L58=""),"缺必填",IF(COUNTIF($A$2:$A$201,A58)&gt;1,"ID重复",IF(COUNTIF('任务登记'!$A$2:$A$201,B58)&lt;&gt;1,"任务ID无效","字段齐备"))))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10" t="str">
        <x:f>IF(COUNTA(A59:M59)=0,"",IF(OR(A59="",B59="",C59="",D59="",E59="",F59="",G59="",I59="",J59="",K59="",L59=""),"缺必填",IF(COUNTIF($A$2:$A$201,A59)&gt;1,"ID重复",IF(COUNTIF('任务登记'!$A$2:$A$201,B59)&lt;&gt;1,"任务ID无效","字段齐备"))))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10" t="str">
        <x:f>IF(COUNTA(A60:M60)=0,"",IF(OR(A60="",B60="",C60="",D60="",E60="",F60="",G60="",I60="",J60="",K60="",L60=""),"缺必填",IF(COUNTIF($A$2:$A$201,A60)&gt;1,"ID重复",IF(COUNTIF('任务登记'!$A$2:$A$201,B60)&lt;&gt;1,"任务ID无效","字段齐备"))))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10" t="str">
        <x:f>IF(COUNTA(A61:M61)=0,"",IF(OR(A61="",B61="",C61="",D61="",E61="",F61="",G61="",I61="",J61="",K61="",L61=""),"缺必填",IF(COUNTIF($A$2:$A$201,A61)&gt;1,"ID重复",IF(COUNTIF('任务登记'!$A$2:$A$201,B61)&lt;&gt;1,"任务ID无效","字段齐备"))))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10" t="str">
        <x:f>IF(COUNTA(A62:M62)=0,"",IF(OR(A62="",B62="",C62="",D62="",E62="",F62="",G62="",I62="",J62="",K62="",L62=""),"缺必填",IF(COUNTIF($A$2:$A$201,A62)&gt;1,"ID重复",IF(COUNTIF('任务登记'!$A$2:$A$201,B62)&lt;&gt;1,"任务ID无效","字段齐备"))))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10" t="str">
        <x:f>IF(COUNTA(A63:M63)=0,"",IF(OR(A63="",B63="",C63="",D63="",E63="",F63="",G63="",I63="",J63="",K63="",L63=""),"缺必填",IF(COUNTIF($A$2:$A$201,A63)&gt;1,"ID重复",IF(COUNTIF('任务登记'!$A$2:$A$201,B63)&lt;&gt;1,"任务ID无效","字段齐备"))))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10" t="str">
        <x:f>IF(COUNTA(A64:M64)=0,"",IF(OR(A64="",B64="",C64="",D64="",E64="",F64="",G64="",I64="",J64="",K64="",L64=""),"缺必填",IF(COUNTIF($A$2:$A$201,A64)&gt;1,"ID重复",IF(COUNTIF('任务登记'!$A$2:$A$201,B64)&lt;&gt;1,"任务ID无效","字段齐备"))))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10" t="str">
        <x:f>IF(COUNTA(A65:M65)=0,"",IF(OR(A65="",B65="",C65="",D65="",E65="",F65="",G65="",I65="",J65="",K65="",L65=""),"缺必填",IF(COUNTIF($A$2:$A$201,A65)&gt;1,"ID重复",IF(COUNTIF('任务登记'!$A$2:$A$201,B65)&lt;&gt;1,"任务ID无效","字段齐备"))))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10" t="str">
        <x:f>IF(COUNTA(A66:M66)=0,"",IF(OR(A66="",B66="",C66="",D66="",E66="",F66="",G66="",I66="",J66="",K66="",L66=""),"缺必填",IF(COUNTIF($A$2:$A$201,A66)&gt;1,"ID重复",IF(COUNTIF('任务登记'!$A$2:$A$201,B66)&lt;&gt;1,"任务ID无效","字段齐备"))))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10" t="str">
        <x:f>IF(COUNTA(A67:M67)=0,"",IF(OR(A67="",B67="",C67="",D67="",E67="",F67="",G67="",I67="",J67="",K67="",L67=""),"缺必填",IF(COUNTIF($A$2:$A$201,A67)&gt;1,"ID重复",IF(COUNTIF('任务登记'!$A$2:$A$201,B67)&lt;&gt;1,"任务ID无效","字段齐备"))))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10" t="str">
        <x:f>IF(COUNTA(A68:M68)=0,"",IF(OR(A68="",B68="",C68="",D68="",E68="",F68="",G68="",I68="",J68="",K68="",L68=""),"缺必填",IF(COUNTIF($A$2:$A$201,A68)&gt;1,"ID重复",IF(COUNTIF('任务登记'!$A$2:$A$201,B68)&lt;&gt;1,"任务ID无效","字段齐备"))))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10" t="str">
        <x:f>IF(COUNTA(A69:M69)=0,"",IF(OR(A69="",B69="",C69="",D69="",E69="",F69="",G69="",I69="",J69="",K69="",L69=""),"缺必填",IF(COUNTIF($A$2:$A$201,A69)&gt;1,"ID重复",IF(COUNTIF('任务登记'!$A$2:$A$201,B69)&lt;&gt;1,"任务ID无效","字段齐备"))))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10" t="str">
        <x:f>IF(COUNTA(A70:M70)=0,"",IF(OR(A70="",B70="",C70="",D70="",E70="",F70="",G70="",I70="",J70="",K70="",L70=""),"缺必填",IF(COUNTIF($A$2:$A$201,A70)&gt;1,"ID重复",IF(COUNTIF('任务登记'!$A$2:$A$201,B70)&lt;&gt;1,"任务ID无效","字段齐备"))))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10" t="str">
        <x:f>IF(COUNTA(A71:M71)=0,"",IF(OR(A71="",B71="",C71="",D71="",E71="",F71="",G71="",I71="",J71="",K71="",L71=""),"缺必填",IF(COUNTIF($A$2:$A$201,A71)&gt;1,"ID重复",IF(COUNTIF('任务登记'!$A$2:$A$201,B71)&lt;&gt;1,"任务ID无效","字段齐备"))))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10" t="str">
        <x:f>IF(COUNTA(A72:M72)=0,"",IF(OR(A72="",B72="",C72="",D72="",E72="",F72="",G72="",I72="",J72="",K72="",L72=""),"缺必填",IF(COUNTIF($A$2:$A$201,A72)&gt;1,"ID重复",IF(COUNTIF('任务登记'!$A$2:$A$201,B72)&lt;&gt;1,"任务ID无效","字段齐备"))))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10" t="str">
        <x:f>IF(COUNTA(A73:M73)=0,"",IF(OR(A73="",B73="",C73="",D73="",E73="",F73="",G73="",I73="",J73="",K73="",L73=""),"缺必填",IF(COUNTIF($A$2:$A$201,A73)&gt;1,"ID重复",IF(COUNTIF('任务登记'!$A$2:$A$201,B73)&lt;&gt;1,"任务ID无效","字段齐备"))))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10" t="str">
        <x:f>IF(COUNTA(A74:M74)=0,"",IF(OR(A74="",B74="",C74="",D74="",E74="",F74="",G74="",I74="",J74="",K74="",L74=""),"缺必填",IF(COUNTIF($A$2:$A$201,A74)&gt;1,"ID重复",IF(COUNTIF('任务登记'!$A$2:$A$201,B74)&lt;&gt;1,"任务ID无效","字段齐备"))))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10" t="str">
        <x:f>IF(COUNTA(A75:M75)=0,"",IF(OR(A75="",B75="",C75="",D75="",E75="",F75="",G75="",I75="",J75="",K75="",L75=""),"缺必填",IF(COUNTIF($A$2:$A$201,A75)&gt;1,"ID重复",IF(COUNTIF('任务登记'!$A$2:$A$201,B75)&lt;&gt;1,"任务ID无效","字段齐备"))))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10" t="str">
        <x:f>IF(COUNTA(A76:M76)=0,"",IF(OR(A76="",B76="",C76="",D76="",E76="",F76="",G76="",I76="",J76="",K76="",L76=""),"缺必填",IF(COUNTIF($A$2:$A$201,A76)&gt;1,"ID重复",IF(COUNTIF('任务登记'!$A$2:$A$201,B76)&lt;&gt;1,"任务ID无效","字段齐备"))))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10" t="str">
        <x:f>IF(COUNTA(A77:M77)=0,"",IF(OR(A77="",B77="",C77="",D77="",E77="",F77="",G77="",I77="",J77="",K77="",L77=""),"缺必填",IF(COUNTIF($A$2:$A$201,A77)&gt;1,"ID重复",IF(COUNTIF('任务登记'!$A$2:$A$201,B77)&lt;&gt;1,"任务ID无效","字段齐备"))))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10" t="str">
        <x:f>IF(COUNTA(A78:M78)=0,"",IF(OR(A78="",B78="",C78="",D78="",E78="",F78="",G78="",I78="",J78="",K78="",L78=""),"缺必填",IF(COUNTIF($A$2:$A$201,A78)&gt;1,"ID重复",IF(COUNTIF('任务登记'!$A$2:$A$201,B78)&lt;&gt;1,"任务ID无效","字段齐备"))))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10" t="str">
        <x:f>IF(COUNTA(A79:M79)=0,"",IF(OR(A79="",B79="",C79="",D79="",E79="",F79="",G79="",I79="",J79="",K79="",L79=""),"缺必填",IF(COUNTIF($A$2:$A$201,A79)&gt;1,"ID重复",IF(COUNTIF('任务登记'!$A$2:$A$201,B79)&lt;&gt;1,"任务ID无效","字段齐备"))))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10" t="str">
        <x:f>IF(COUNTA(A80:M80)=0,"",IF(OR(A80="",B80="",C80="",D80="",E80="",F80="",G80="",I80="",J80="",K80="",L80=""),"缺必填",IF(COUNTIF($A$2:$A$201,A80)&gt;1,"ID重复",IF(COUNTIF('任务登记'!$A$2:$A$201,B80)&lt;&gt;1,"任务ID无效","字段齐备"))))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10" t="str">
        <x:f>IF(COUNTA(A81:M81)=0,"",IF(OR(A81="",B81="",C81="",D81="",E81="",F81="",G81="",I81="",J81="",K81="",L81=""),"缺必填",IF(COUNTIF($A$2:$A$201,A81)&gt;1,"ID重复",IF(COUNTIF('任务登记'!$A$2:$A$201,B81)&lt;&gt;1,"任务ID无效","字段齐备"))))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10" t="str">
        <x:f>IF(COUNTA(A82:M82)=0,"",IF(OR(A82="",B82="",C82="",D82="",E82="",F82="",G82="",I82="",J82="",K82="",L82=""),"缺必填",IF(COUNTIF($A$2:$A$201,A82)&gt;1,"ID重复",IF(COUNTIF('任务登记'!$A$2:$A$201,B82)&lt;&gt;1,"任务ID无效","字段齐备"))))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10" t="str">
        <x:f>IF(COUNTA(A83:M83)=0,"",IF(OR(A83="",B83="",C83="",D83="",E83="",F83="",G83="",I83="",J83="",K83="",L83=""),"缺必填",IF(COUNTIF($A$2:$A$201,A83)&gt;1,"ID重复",IF(COUNTIF('任务登记'!$A$2:$A$201,B83)&lt;&gt;1,"任务ID无效","字段齐备"))))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10" t="str">
        <x:f>IF(COUNTA(A84:M84)=0,"",IF(OR(A84="",B84="",C84="",D84="",E84="",F84="",G84="",I84="",J84="",K84="",L84=""),"缺必填",IF(COUNTIF($A$2:$A$201,A84)&gt;1,"ID重复",IF(COUNTIF('任务登记'!$A$2:$A$201,B84)&lt;&gt;1,"任务ID无效","字段齐备"))))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10" t="str">
        <x:f>IF(COUNTA(A85:M85)=0,"",IF(OR(A85="",B85="",C85="",D85="",E85="",F85="",G85="",I85="",J85="",K85="",L85=""),"缺必填",IF(COUNTIF($A$2:$A$201,A85)&gt;1,"ID重复",IF(COUNTIF('任务登记'!$A$2:$A$201,B85)&lt;&gt;1,"任务ID无效","字段齐备"))))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10" t="str">
        <x:f>IF(COUNTA(A86:M86)=0,"",IF(OR(A86="",B86="",C86="",D86="",E86="",F86="",G86="",I86="",J86="",K86="",L86=""),"缺必填",IF(COUNTIF($A$2:$A$201,A86)&gt;1,"ID重复",IF(COUNTIF('任务登记'!$A$2:$A$201,B86)&lt;&gt;1,"任务ID无效","字段齐备"))))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10" t="str">
        <x:f>IF(COUNTA(A87:M87)=0,"",IF(OR(A87="",B87="",C87="",D87="",E87="",F87="",G87="",I87="",J87="",K87="",L87=""),"缺必填",IF(COUNTIF($A$2:$A$201,A87)&gt;1,"ID重复",IF(COUNTIF('任务登记'!$A$2:$A$201,B87)&lt;&gt;1,"任务ID无效","字段齐备"))))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10" t="str">
        <x:f>IF(COUNTA(A88:M88)=0,"",IF(OR(A88="",B88="",C88="",D88="",E88="",F88="",G88="",I88="",J88="",K88="",L88=""),"缺必填",IF(COUNTIF($A$2:$A$201,A88)&gt;1,"ID重复",IF(COUNTIF('任务登记'!$A$2:$A$201,B88)&lt;&gt;1,"任务ID无效","字段齐备"))))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10" t="str">
        <x:f>IF(COUNTA(A89:M89)=0,"",IF(OR(A89="",B89="",C89="",D89="",E89="",F89="",G89="",I89="",J89="",K89="",L89=""),"缺必填",IF(COUNTIF($A$2:$A$201,A89)&gt;1,"ID重复",IF(COUNTIF('任务登记'!$A$2:$A$201,B89)&lt;&gt;1,"任务ID无效","字段齐备"))))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10" t="str">
        <x:f>IF(COUNTA(A90:M90)=0,"",IF(OR(A90="",B90="",C90="",D90="",E90="",F90="",G90="",I90="",J90="",K90="",L90=""),"缺必填",IF(COUNTIF($A$2:$A$201,A90)&gt;1,"ID重复",IF(COUNTIF('任务登记'!$A$2:$A$201,B90)&lt;&gt;1,"任务ID无效","字段齐备"))))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10" t="str">
        <x:f>IF(COUNTA(A91:M91)=0,"",IF(OR(A91="",B91="",C91="",D91="",E91="",F91="",G91="",I91="",J91="",K91="",L91=""),"缺必填",IF(COUNTIF($A$2:$A$201,A91)&gt;1,"ID重复",IF(COUNTIF('任务登记'!$A$2:$A$201,B91)&lt;&gt;1,"任务ID无效","字段齐备"))))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10" t="str">
        <x:f>IF(COUNTA(A92:M92)=0,"",IF(OR(A92="",B92="",C92="",D92="",E92="",F92="",G92="",I92="",J92="",K92="",L92=""),"缺必填",IF(COUNTIF($A$2:$A$201,A92)&gt;1,"ID重复",IF(COUNTIF('任务登记'!$A$2:$A$201,B92)&lt;&gt;1,"任务ID无效","字段齐备"))))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10" t="str">
        <x:f>IF(COUNTA(A93:M93)=0,"",IF(OR(A93="",B93="",C93="",D93="",E93="",F93="",G93="",I93="",J93="",K93="",L93=""),"缺必填",IF(COUNTIF($A$2:$A$201,A93)&gt;1,"ID重复",IF(COUNTIF('任务登记'!$A$2:$A$201,B93)&lt;&gt;1,"任务ID无效","字段齐备"))))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10" t="str">
        <x:f>IF(COUNTA(A94:M94)=0,"",IF(OR(A94="",B94="",C94="",D94="",E94="",F94="",G94="",I94="",J94="",K94="",L94=""),"缺必填",IF(COUNTIF($A$2:$A$201,A94)&gt;1,"ID重复",IF(COUNTIF('任务登记'!$A$2:$A$201,B94)&lt;&gt;1,"任务ID无效","字段齐备"))))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10" t="str">
        <x:f>IF(COUNTA(A95:M95)=0,"",IF(OR(A95="",B95="",C95="",D95="",E95="",F95="",G95="",I95="",J95="",K95="",L95=""),"缺必填",IF(COUNTIF($A$2:$A$201,A95)&gt;1,"ID重复",IF(COUNTIF('任务登记'!$A$2:$A$201,B95)&lt;&gt;1,"任务ID无效","字段齐备"))))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10" t="str">
        <x:f>IF(COUNTA(A96:M96)=0,"",IF(OR(A96="",B96="",C96="",D96="",E96="",F96="",G96="",I96="",J96="",K96="",L96=""),"缺必填",IF(COUNTIF($A$2:$A$201,A96)&gt;1,"ID重复",IF(COUNTIF('任务登记'!$A$2:$A$201,B96)&lt;&gt;1,"任务ID无效","字段齐备"))))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10" t="str">
        <x:f>IF(COUNTA(A97:M97)=0,"",IF(OR(A97="",B97="",C97="",D97="",E97="",F97="",G97="",I97="",J97="",K97="",L97=""),"缺必填",IF(COUNTIF($A$2:$A$201,A97)&gt;1,"ID重复",IF(COUNTIF('任务登记'!$A$2:$A$201,B97)&lt;&gt;1,"任务ID无效","字段齐备"))))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10" t="str">
        <x:f>IF(COUNTA(A98:M98)=0,"",IF(OR(A98="",B98="",C98="",D98="",E98="",F98="",G98="",I98="",J98="",K98="",L98=""),"缺必填",IF(COUNTIF($A$2:$A$201,A98)&gt;1,"ID重复",IF(COUNTIF('任务登记'!$A$2:$A$201,B98)&lt;&gt;1,"任务ID无效","字段齐备"))))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10" t="str">
        <x:f>IF(COUNTA(A99:M99)=0,"",IF(OR(A99="",B99="",C99="",D99="",E99="",F99="",G99="",I99="",J99="",K99="",L99=""),"缺必填",IF(COUNTIF($A$2:$A$201,A99)&gt;1,"ID重复",IF(COUNTIF('任务登记'!$A$2:$A$201,B99)&lt;&gt;1,"任务ID无效","字段齐备"))))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10" t="str">
        <x:f>IF(COUNTA(A100:M100)=0,"",IF(OR(A100="",B100="",C100="",D100="",E100="",F100="",G100="",I100="",J100="",K100="",L100=""),"缺必填",IF(COUNTIF($A$2:$A$201,A100)&gt;1,"ID重复",IF(COUNTIF('任务登记'!$A$2:$A$201,B100)&lt;&gt;1,"任务ID无效","字段齐备"))))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10" t="str">
        <x:f>IF(COUNTA(A101:M101)=0,"",IF(OR(A101="",B101="",C101="",D101="",E101="",F101="",G101="",I101="",J101="",K101="",L101=""),"缺必填",IF(COUNTIF($A$2:$A$201,A101)&gt;1,"ID重复",IF(COUNTIF('任务登记'!$A$2:$A$201,B101)&lt;&gt;1,"任务ID无效","字段齐备"))))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10" t="str">
        <x:f>IF(COUNTA(A102:M102)=0,"",IF(OR(A102="",B102="",C102="",D102="",E102="",F102="",G102="",I102="",J102="",K102="",L102=""),"缺必填",IF(COUNTIF($A$2:$A$201,A102)&gt;1,"ID重复",IF(COUNTIF('任务登记'!$A$2:$A$201,B102)&lt;&gt;1,"任务ID无效","字段齐备"))))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10" t="str">
        <x:f>IF(COUNTA(A103:M103)=0,"",IF(OR(A103="",B103="",C103="",D103="",E103="",F103="",G103="",I103="",J103="",K103="",L103=""),"缺必填",IF(COUNTIF($A$2:$A$201,A103)&gt;1,"ID重复",IF(COUNTIF('任务登记'!$A$2:$A$201,B103)&lt;&gt;1,"任务ID无效","字段齐备"))))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10" t="str">
        <x:f>IF(COUNTA(A104:M104)=0,"",IF(OR(A104="",B104="",C104="",D104="",E104="",F104="",G104="",I104="",J104="",K104="",L104=""),"缺必填",IF(COUNTIF($A$2:$A$201,A104)&gt;1,"ID重复",IF(COUNTIF('任务登记'!$A$2:$A$201,B104)&lt;&gt;1,"任务ID无效","字段齐备"))))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10" t="str">
        <x:f>IF(COUNTA(A105:M105)=0,"",IF(OR(A105="",B105="",C105="",D105="",E105="",F105="",G105="",I105="",J105="",K105="",L105=""),"缺必填",IF(COUNTIF($A$2:$A$201,A105)&gt;1,"ID重复",IF(COUNTIF('任务登记'!$A$2:$A$201,B105)&lt;&gt;1,"任务ID无效","字段齐备"))))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10" t="str">
        <x:f>IF(COUNTA(A106:M106)=0,"",IF(OR(A106="",B106="",C106="",D106="",E106="",F106="",G106="",I106="",J106="",K106="",L106=""),"缺必填",IF(COUNTIF($A$2:$A$201,A106)&gt;1,"ID重复",IF(COUNTIF('任务登记'!$A$2:$A$201,B106)&lt;&gt;1,"任务ID无效","字段齐备"))))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10" t="str">
        <x:f>IF(COUNTA(A107:M107)=0,"",IF(OR(A107="",B107="",C107="",D107="",E107="",F107="",G107="",I107="",J107="",K107="",L107=""),"缺必填",IF(COUNTIF($A$2:$A$201,A107)&gt;1,"ID重复",IF(COUNTIF('任务登记'!$A$2:$A$201,B107)&lt;&gt;1,"任务ID无效","字段齐备"))))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10" t="str">
        <x:f>IF(COUNTA(A108:M108)=0,"",IF(OR(A108="",B108="",C108="",D108="",E108="",F108="",G108="",I108="",J108="",K108="",L108=""),"缺必填",IF(COUNTIF($A$2:$A$201,A108)&gt;1,"ID重复",IF(COUNTIF('任务登记'!$A$2:$A$201,B108)&lt;&gt;1,"任务ID无效","字段齐备"))))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10" t="str">
        <x:f>IF(COUNTA(A109:M109)=0,"",IF(OR(A109="",B109="",C109="",D109="",E109="",F109="",G109="",I109="",J109="",K109="",L109=""),"缺必填",IF(COUNTIF($A$2:$A$201,A109)&gt;1,"ID重复",IF(COUNTIF('任务登记'!$A$2:$A$201,B109)&lt;&gt;1,"任务ID无效","字段齐备"))))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10" t="str">
        <x:f>IF(COUNTA(A110:M110)=0,"",IF(OR(A110="",B110="",C110="",D110="",E110="",F110="",G110="",I110="",J110="",K110="",L110=""),"缺必填",IF(COUNTIF($A$2:$A$201,A110)&gt;1,"ID重复",IF(COUNTIF('任务登记'!$A$2:$A$201,B110)&lt;&gt;1,"任务ID无效","字段齐备"))))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10" t="str">
        <x:f>IF(COUNTA(A111:M111)=0,"",IF(OR(A111="",B111="",C111="",D111="",E111="",F111="",G111="",I111="",J111="",K111="",L111=""),"缺必填",IF(COUNTIF($A$2:$A$201,A111)&gt;1,"ID重复",IF(COUNTIF('任务登记'!$A$2:$A$201,B111)&lt;&gt;1,"任务ID无效","字段齐备"))))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10" t="str">
        <x:f>IF(COUNTA(A112:M112)=0,"",IF(OR(A112="",B112="",C112="",D112="",E112="",F112="",G112="",I112="",J112="",K112="",L112=""),"缺必填",IF(COUNTIF($A$2:$A$201,A112)&gt;1,"ID重复",IF(COUNTIF('任务登记'!$A$2:$A$201,B112)&lt;&gt;1,"任务ID无效","字段齐备"))))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10" t="str">
        <x:f>IF(COUNTA(A113:M113)=0,"",IF(OR(A113="",B113="",C113="",D113="",E113="",F113="",G113="",I113="",J113="",K113="",L113=""),"缺必填",IF(COUNTIF($A$2:$A$201,A113)&gt;1,"ID重复",IF(COUNTIF('任务登记'!$A$2:$A$201,B113)&lt;&gt;1,"任务ID无效","字段齐备"))))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10" t="str">
        <x:f>IF(COUNTA(A114:M114)=0,"",IF(OR(A114="",B114="",C114="",D114="",E114="",F114="",G114="",I114="",J114="",K114="",L114=""),"缺必填",IF(COUNTIF($A$2:$A$201,A114)&gt;1,"ID重复",IF(COUNTIF('任务登记'!$A$2:$A$201,B114)&lt;&gt;1,"任务ID无效","字段齐备"))))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10" t="str">
        <x:f>IF(COUNTA(A115:M115)=0,"",IF(OR(A115="",B115="",C115="",D115="",E115="",F115="",G115="",I115="",J115="",K115="",L115=""),"缺必填",IF(COUNTIF($A$2:$A$201,A115)&gt;1,"ID重复",IF(COUNTIF('任务登记'!$A$2:$A$201,B115)&lt;&gt;1,"任务ID无效","字段齐备"))))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10" t="str">
        <x:f>IF(COUNTA(A116:M116)=0,"",IF(OR(A116="",B116="",C116="",D116="",E116="",F116="",G116="",I116="",J116="",K116="",L116=""),"缺必填",IF(COUNTIF($A$2:$A$201,A116)&gt;1,"ID重复",IF(COUNTIF('任务登记'!$A$2:$A$201,B116)&lt;&gt;1,"任务ID无效","字段齐备"))))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10" t="str">
        <x:f>IF(COUNTA(A117:M117)=0,"",IF(OR(A117="",B117="",C117="",D117="",E117="",F117="",G117="",I117="",J117="",K117="",L117=""),"缺必填",IF(COUNTIF($A$2:$A$201,A117)&gt;1,"ID重复",IF(COUNTIF('任务登记'!$A$2:$A$201,B117)&lt;&gt;1,"任务ID无效","字段齐备"))))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10" t="str">
        <x:f>IF(COUNTA(A118:M118)=0,"",IF(OR(A118="",B118="",C118="",D118="",E118="",F118="",G118="",I118="",J118="",K118="",L118=""),"缺必填",IF(COUNTIF($A$2:$A$201,A118)&gt;1,"ID重复",IF(COUNTIF('任务登记'!$A$2:$A$201,B118)&lt;&gt;1,"任务ID无效","字段齐备"))))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10" t="str">
        <x:f>IF(COUNTA(A119:M119)=0,"",IF(OR(A119="",B119="",C119="",D119="",E119="",F119="",G119="",I119="",J119="",K119="",L119=""),"缺必填",IF(COUNTIF($A$2:$A$201,A119)&gt;1,"ID重复",IF(COUNTIF('任务登记'!$A$2:$A$201,B119)&lt;&gt;1,"任务ID无效","字段齐备"))))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10" t="str">
        <x:f>IF(COUNTA(A120:M120)=0,"",IF(OR(A120="",B120="",C120="",D120="",E120="",F120="",G120="",I120="",J120="",K120="",L120=""),"缺必填",IF(COUNTIF($A$2:$A$201,A120)&gt;1,"ID重复",IF(COUNTIF('任务登记'!$A$2:$A$201,B120)&lt;&gt;1,"任务ID无效","字段齐备"))))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10" t="str">
        <x:f>IF(COUNTA(A121:M121)=0,"",IF(OR(A121="",B121="",C121="",D121="",E121="",F121="",G121="",I121="",J121="",K121="",L121=""),"缺必填",IF(COUNTIF($A$2:$A$201,A121)&gt;1,"ID重复",IF(COUNTIF('任务登记'!$A$2:$A$201,B121)&lt;&gt;1,"任务ID无效","字段齐备"))))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10" t="str">
        <x:f>IF(COUNTA(A122:M122)=0,"",IF(OR(A122="",B122="",C122="",D122="",E122="",F122="",G122="",I122="",J122="",K122="",L122=""),"缺必填",IF(COUNTIF($A$2:$A$201,A122)&gt;1,"ID重复",IF(COUNTIF('任务登记'!$A$2:$A$201,B122)&lt;&gt;1,"任务ID无效","字段齐备"))))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10" t="str">
        <x:f>IF(COUNTA(A123:M123)=0,"",IF(OR(A123="",B123="",C123="",D123="",E123="",F123="",G123="",I123="",J123="",K123="",L123=""),"缺必填",IF(COUNTIF($A$2:$A$201,A123)&gt;1,"ID重复",IF(COUNTIF('任务登记'!$A$2:$A$201,B123)&lt;&gt;1,"任务ID无效","字段齐备"))))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10" t="str">
        <x:f>IF(COUNTA(A124:M124)=0,"",IF(OR(A124="",B124="",C124="",D124="",E124="",F124="",G124="",I124="",J124="",K124="",L124=""),"缺必填",IF(COUNTIF($A$2:$A$201,A124)&gt;1,"ID重复",IF(COUNTIF('任务登记'!$A$2:$A$201,B124)&lt;&gt;1,"任务ID无效","字段齐备"))))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10" t="str">
        <x:f>IF(COUNTA(A125:M125)=0,"",IF(OR(A125="",B125="",C125="",D125="",E125="",F125="",G125="",I125="",J125="",K125="",L125=""),"缺必填",IF(COUNTIF($A$2:$A$201,A125)&gt;1,"ID重复",IF(COUNTIF('任务登记'!$A$2:$A$201,B125)&lt;&gt;1,"任务ID无效","字段齐备"))))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10" t="str">
        <x:f>IF(COUNTA(A126:M126)=0,"",IF(OR(A126="",B126="",C126="",D126="",E126="",F126="",G126="",I126="",J126="",K126="",L126=""),"缺必填",IF(COUNTIF($A$2:$A$201,A126)&gt;1,"ID重复",IF(COUNTIF('任务登记'!$A$2:$A$201,B126)&lt;&gt;1,"任务ID无效","字段齐备"))))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10" t="str">
        <x:f>IF(COUNTA(A127:M127)=0,"",IF(OR(A127="",B127="",C127="",D127="",E127="",F127="",G127="",I127="",J127="",K127="",L127=""),"缺必填",IF(COUNTIF($A$2:$A$201,A127)&gt;1,"ID重复",IF(COUNTIF('任务登记'!$A$2:$A$201,B127)&lt;&gt;1,"任务ID无效","字段齐备"))))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10" t="str">
        <x:f>IF(COUNTA(A128:M128)=0,"",IF(OR(A128="",B128="",C128="",D128="",E128="",F128="",G128="",I128="",J128="",K128="",L128=""),"缺必填",IF(COUNTIF($A$2:$A$201,A128)&gt;1,"ID重复",IF(COUNTIF('任务登记'!$A$2:$A$201,B128)&lt;&gt;1,"任务ID无效","字段齐备"))))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10" t="str">
        <x:f>IF(COUNTA(A129:M129)=0,"",IF(OR(A129="",B129="",C129="",D129="",E129="",F129="",G129="",I129="",J129="",K129="",L129=""),"缺必填",IF(COUNTIF($A$2:$A$201,A129)&gt;1,"ID重复",IF(COUNTIF('任务登记'!$A$2:$A$201,B129)&lt;&gt;1,"任务ID无效","字段齐备"))))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10" t="str">
        <x:f>IF(COUNTA(A130:M130)=0,"",IF(OR(A130="",B130="",C130="",D130="",E130="",F130="",G130="",I130="",J130="",K130="",L130=""),"缺必填",IF(COUNTIF($A$2:$A$201,A130)&gt;1,"ID重复",IF(COUNTIF('任务登记'!$A$2:$A$201,B130)&lt;&gt;1,"任务ID无效","字段齐备"))))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10" t="str">
        <x:f>IF(COUNTA(A131:M131)=0,"",IF(OR(A131="",B131="",C131="",D131="",E131="",F131="",G131="",I131="",J131="",K131="",L131=""),"缺必填",IF(COUNTIF($A$2:$A$201,A131)&gt;1,"ID重复",IF(COUNTIF('任务登记'!$A$2:$A$201,B131)&lt;&gt;1,"任务ID无效","字段齐备"))))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10" t="str">
        <x:f>IF(COUNTA(A132:M132)=0,"",IF(OR(A132="",B132="",C132="",D132="",E132="",F132="",G132="",I132="",J132="",K132="",L132=""),"缺必填",IF(COUNTIF($A$2:$A$201,A132)&gt;1,"ID重复",IF(COUNTIF('任务登记'!$A$2:$A$201,B132)&lt;&gt;1,"任务ID无效","字段齐备"))))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10" t="str">
        <x:f>IF(COUNTA(A133:M133)=0,"",IF(OR(A133="",B133="",C133="",D133="",E133="",F133="",G133="",I133="",J133="",K133="",L133=""),"缺必填",IF(COUNTIF($A$2:$A$201,A133)&gt;1,"ID重复",IF(COUNTIF('任务登记'!$A$2:$A$201,B133)&lt;&gt;1,"任务ID无效","字段齐备"))))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10" t="str">
        <x:f>IF(COUNTA(A134:M134)=0,"",IF(OR(A134="",B134="",C134="",D134="",E134="",F134="",G134="",I134="",J134="",K134="",L134=""),"缺必填",IF(COUNTIF($A$2:$A$201,A134)&gt;1,"ID重复",IF(COUNTIF('任务登记'!$A$2:$A$201,B134)&lt;&gt;1,"任务ID无效","字段齐备"))))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10" t="str">
        <x:f>IF(COUNTA(A135:M135)=0,"",IF(OR(A135="",B135="",C135="",D135="",E135="",F135="",G135="",I135="",J135="",K135="",L135=""),"缺必填",IF(COUNTIF($A$2:$A$201,A135)&gt;1,"ID重复",IF(COUNTIF('任务登记'!$A$2:$A$201,B135)&lt;&gt;1,"任务ID无效","字段齐备"))))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10" t="str">
        <x:f>IF(COUNTA(A136:M136)=0,"",IF(OR(A136="",B136="",C136="",D136="",E136="",F136="",G136="",I136="",J136="",K136="",L136=""),"缺必填",IF(COUNTIF($A$2:$A$201,A136)&gt;1,"ID重复",IF(COUNTIF('任务登记'!$A$2:$A$201,B136)&lt;&gt;1,"任务ID无效","字段齐备"))))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10" t="str">
        <x:f>IF(COUNTA(A137:M137)=0,"",IF(OR(A137="",B137="",C137="",D137="",E137="",F137="",G137="",I137="",J137="",K137="",L137=""),"缺必填",IF(COUNTIF($A$2:$A$201,A137)&gt;1,"ID重复",IF(COUNTIF('任务登记'!$A$2:$A$201,B137)&lt;&gt;1,"任务ID无效","字段齐备"))))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10" t="str">
        <x:f>IF(COUNTA(A138:M138)=0,"",IF(OR(A138="",B138="",C138="",D138="",E138="",F138="",G138="",I138="",J138="",K138="",L138=""),"缺必填",IF(COUNTIF($A$2:$A$201,A138)&gt;1,"ID重复",IF(COUNTIF('任务登记'!$A$2:$A$201,B138)&lt;&gt;1,"任务ID无效","字段齐备"))))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10" t="str">
        <x:f>IF(COUNTA(A139:M139)=0,"",IF(OR(A139="",B139="",C139="",D139="",E139="",F139="",G139="",I139="",J139="",K139="",L139=""),"缺必填",IF(COUNTIF($A$2:$A$201,A139)&gt;1,"ID重复",IF(COUNTIF('任务登记'!$A$2:$A$201,B139)&lt;&gt;1,"任务ID无效","字段齐备"))))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10" t="str">
        <x:f>IF(COUNTA(A140:M140)=0,"",IF(OR(A140="",B140="",C140="",D140="",E140="",F140="",G140="",I140="",J140="",K140="",L140=""),"缺必填",IF(COUNTIF($A$2:$A$201,A140)&gt;1,"ID重复",IF(COUNTIF('任务登记'!$A$2:$A$201,B140)&lt;&gt;1,"任务ID无效","字段齐备"))))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10" t="str">
        <x:f>IF(COUNTA(A141:M141)=0,"",IF(OR(A141="",B141="",C141="",D141="",E141="",F141="",G141="",I141="",J141="",K141="",L141=""),"缺必填",IF(COUNTIF($A$2:$A$201,A141)&gt;1,"ID重复",IF(COUNTIF('任务登记'!$A$2:$A$201,B141)&lt;&gt;1,"任务ID无效","字段齐备"))))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10" t="str">
        <x:f>IF(COUNTA(A142:M142)=0,"",IF(OR(A142="",B142="",C142="",D142="",E142="",F142="",G142="",I142="",J142="",K142="",L142=""),"缺必填",IF(COUNTIF($A$2:$A$201,A142)&gt;1,"ID重复",IF(COUNTIF('任务登记'!$A$2:$A$201,B142)&lt;&gt;1,"任务ID无效","字段齐备"))))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10" t="str">
        <x:f>IF(COUNTA(A143:M143)=0,"",IF(OR(A143="",B143="",C143="",D143="",E143="",F143="",G143="",I143="",J143="",K143="",L143=""),"缺必填",IF(COUNTIF($A$2:$A$201,A143)&gt;1,"ID重复",IF(COUNTIF('任务登记'!$A$2:$A$201,B143)&lt;&gt;1,"任务ID无效","字段齐备"))))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10" t="str">
        <x:f>IF(COUNTA(A144:M144)=0,"",IF(OR(A144="",B144="",C144="",D144="",E144="",F144="",G144="",I144="",J144="",K144="",L144=""),"缺必填",IF(COUNTIF($A$2:$A$201,A144)&gt;1,"ID重复",IF(COUNTIF('任务登记'!$A$2:$A$201,B144)&lt;&gt;1,"任务ID无效","字段齐备"))))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10" t="str">
        <x:f>IF(COUNTA(A145:M145)=0,"",IF(OR(A145="",B145="",C145="",D145="",E145="",F145="",G145="",I145="",J145="",K145="",L145=""),"缺必填",IF(COUNTIF($A$2:$A$201,A145)&gt;1,"ID重复",IF(COUNTIF('任务登记'!$A$2:$A$201,B145)&lt;&gt;1,"任务ID无效","字段齐备"))))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10" t="str">
        <x:f>IF(COUNTA(A146:M146)=0,"",IF(OR(A146="",B146="",C146="",D146="",E146="",F146="",G146="",I146="",J146="",K146="",L146=""),"缺必填",IF(COUNTIF($A$2:$A$201,A146)&gt;1,"ID重复",IF(COUNTIF('任务登记'!$A$2:$A$201,B146)&lt;&gt;1,"任务ID无效","字段齐备"))))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10" t="str">
        <x:f>IF(COUNTA(A147:M147)=0,"",IF(OR(A147="",B147="",C147="",D147="",E147="",F147="",G147="",I147="",J147="",K147="",L147=""),"缺必填",IF(COUNTIF($A$2:$A$201,A147)&gt;1,"ID重复",IF(COUNTIF('任务登记'!$A$2:$A$201,B147)&lt;&gt;1,"任务ID无效","字段齐备"))))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10" t="str">
        <x:f>IF(COUNTA(A148:M148)=0,"",IF(OR(A148="",B148="",C148="",D148="",E148="",F148="",G148="",I148="",J148="",K148="",L148=""),"缺必填",IF(COUNTIF($A$2:$A$201,A148)&gt;1,"ID重复",IF(COUNTIF('任务登记'!$A$2:$A$201,B148)&lt;&gt;1,"任务ID无效","字段齐备"))))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10" t="str">
        <x:f>IF(COUNTA(A149:M149)=0,"",IF(OR(A149="",B149="",C149="",D149="",E149="",F149="",G149="",I149="",J149="",K149="",L149=""),"缺必填",IF(COUNTIF($A$2:$A$201,A149)&gt;1,"ID重复",IF(COUNTIF('任务登记'!$A$2:$A$201,B149)&lt;&gt;1,"任务ID无效","字段齐备"))))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10" t="str">
        <x:f>IF(COUNTA(A150:M150)=0,"",IF(OR(A150="",B150="",C150="",D150="",E150="",F150="",G150="",I150="",J150="",K150="",L150=""),"缺必填",IF(COUNTIF($A$2:$A$201,A150)&gt;1,"ID重复",IF(COUNTIF('任务登记'!$A$2:$A$201,B150)&lt;&gt;1,"任务ID无效","字段齐备"))))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10" t="str">
        <x:f>IF(COUNTA(A151:M151)=0,"",IF(OR(A151="",B151="",C151="",D151="",E151="",F151="",G151="",I151="",J151="",K151="",L151=""),"缺必填",IF(COUNTIF($A$2:$A$201,A151)&gt;1,"ID重复",IF(COUNTIF('任务登记'!$A$2:$A$201,B151)&lt;&gt;1,"任务ID无效","字段齐备"))))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10" t="str">
        <x:f>IF(COUNTA(A152:M152)=0,"",IF(OR(A152="",B152="",C152="",D152="",E152="",F152="",G152="",I152="",J152="",K152="",L152=""),"缺必填",IF(COUNTIF($A$2:$A$201,A152)&gt;1,"ID重复",IF(COUNTIF('任务登记'!$A$2:$A$201,B152)&lt;&gt;1,"任务ID无效","字段齐备"))))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10" t="str">
        <x:f>IF(COUNTA(A153:M153)=0,"",IF(OR(A153="",B153="",C153="",D153="",E153="",F153="",G153="",I153="",J153="",K153="",L153=""),"缺必填",IF(COUNTIF($A$2:$A$201,A153)&gt;1,"ID重复",IF(COUNTIF('任务登记'!$A$2:$A$201,B153)&lt;&gt;1,"任务ID无效","字段齐备"))))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10" t="str">
        <x:f>IF(COUNTA(A154:M154)=0,"",IF(OR(A154="",B154="",C154="",D154="",E154="",F154="",G154="",I154="",J154="",K154="",L154=""),"缺必填",IF(COUNTIF($A$2:$A$201,A154)&gt;1,"ID重复",IF(COUNTIF('任务登记'!$A$2:$A$201,B154)&lt;&gt;1,"任务ID无效","字段齐备"))))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10" t="str">
        <x:f>IF(COUNTA(A155:M155)=0,"",IF(OR(A155="",B155="",C155="",D155="",E155="",F155="",G155="",I155="",J155="",K155="",L155=""),"缺必填",IF(COUNTIF($A$2:$A$201,A155)&gt;1,"ID重复",IF(COUNTIF('任务登记'!$A$2:$A$201,B155)&lt;&gt;1,"任务ID无效","字段齐备"))))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10" t="str">
        <x:f>IF(COUNTA(A156:M156)=0,"",IF(OR(A156="",B156="",C156="",D156="",E156="",F156="",G156="",I156="",J156="",K156="",L156=""),"缺必填",IF(COUNTIF($A$2:$A$201,A156)&gt;1,"ID重复",IF(COUNTIF('任务登记'!$A$2:$A$201,B156)&lt;&gt;1,"任务ID无效","字段齐备"))))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10" t="str">
        <x:f>IF(COUNTA(A157:M157)=0,"",IF(OR(A157="",B157="",C157="",D157="",E157="",F157="",G157="",I157="",J157="",K157="",L157=""),"缺必填",IF(COUNTIF($A$2:$A$201,A157)&gt;1,"ID重复",IF(COUNTIF('任务登记'!$A$2:$A$201,B157)&lt;&gt;1,"任务ID无效","字段齐备"))))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10" t="str">
        <x:f>IF(COUNTA(A158:M158)=0,"",IF(OR(A158="",B158="",C158="",D158="",E158="",F158="",G158="",I158="",J158="",K158="",L158=""),"缺必填",IF(COUNTIF($A$2:$A$201,A158)&gt;1,"ID重复",IF(COUNTIF('任务登记'!$A$2:$A$201,B158)&lt;&gt;1,"任务ID无效","字段齐备"))))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10" t="str">
        <x:f>IF(COUNTA(A159:M159)=0,"",IF(OR(A159="",B159="",C159="",D159="",E159="",F159="",G159="",I159="",J159="",K159="",L159=""),"缺必填",IF(COUNTIF($A$2:$A$201,A159)&gt;1,"ID重复",IF(COUNTIF('任务登记'!$A$2:$A$201,B159)&lt;&gt;1,"任务ID无效","字段齐备"))))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10" t="str">
        <x:f>IF(COUNTA(A160:M160)=0,"",IF(OR(A160="",B160="",C160="",D160="",E160="",F160="",G160="",I160="",J160="",K160="",L160=""),"缺必填",IF(COUNTIF($A$2:$A$201,A160)&gt;1,"ID重复",IF(COUNTIF('任务登记'!$A$2:$A$201,B160)&lt;&gt;1,"任务ID无效","字段齐备"))))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10" t="str">
        <x:f>IF(COUNTA(A161:M161)=0,"",IF(OR(A161="",B161="",C161="",D161="",E161="",F161="",G161="",I161="",J161="",K161="",L161=""),"缺必填",IF(COUNTIF($A$2:$A$201,A161)&gt;1,"ID重复",IF(COUNTIF('任务登记'!$A$2:$A$201,B161)&lt;&gt;1,"任务ID无效","字段齐备"))))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10" t="str">
        <x:f>IF(COUNTA(A162:M162)=0,"",IF(OR(A162="",B162="",C162="",D162="",E162="",F162="",G162="",I162="",J162="",K162="",L162=""),"缺必填",IF(COUNTIF($A$2:$A$201,A162)&gt;1,"ID重复",IF(COUNTIF('任务登记'!$A$2:$A$201,B162)&lt;&gt;1,"任务ID无效","字段齐备"))))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10" t="str">
        <x:f>IF(COUNTA(A163:M163)=0,"",IF(OR(A163="",B163="",C163="",D163="",E163="",F163="",G163="",I163="",J163="",K163="",L163=""),"缺必填",IF(COUNTIF($A$2:$A$201,A163)&gt;1,"ID重复",IF(COUNTIF('任务登记'!$A$2:$A$201,B163)&lt;&gt;1,"任务ID无效","字段齐备"))))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10" t="str">
        <x:f>IF(COUNTA(A164:M164)=0,"",IF(OR(A164="",B164="",C164="",D164="",E164="",F164="",G164="",I164="",J164="",K164="",L164=""),"缺必填",IF(COUNTIF($A$2:$A$201,A164)&gt;1,"ID重复",IF(COUNTIF('任务登记'!$A$2:$A$201,B164)&lt;&gt;1,"任务ID无效","字段齐备"))))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10" t="str">
        <x:f>IF(COUNTA(A165:M165)=0,"",IF(OR(A165="",B165="",C165="",D165="",E165="",F165="",G165="",I165="",J165="",K165="",L165=""),"缺必填",IF(COUNTIF($A$2:$A$201,A165)&gt;1,"ID重复",IF(COUNTIF('任务登记'!$A$2:$A$201,B165)&lt;&gt;1,"任务ID无效","字段齐备"))))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10" t="str">
        <x:f>IF(COUNTA(A166:M166)=0,"",IF(OR(A166="",B166="",C166="",D166="",E166="",F166="",G166="",I166="",J166="",K166="",L166=""),"缺必填",IF(COUNTIF($A$2:$A$201,A166)&gt;1,"ID重复",IF(COUNTIF('任务登记'!$A$2:$A$201,B166)&lt;&gt;1,"任务ID无效","字段齐备"))))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10" t="str">
        <x:f>IF(COUNTA(A167:M167)=0,"",IF(OR(A167="",B167="",C167="",D167="",E167="",F167="",G167="",I167="",J167="",K167="",L167=""),"缺必填",IF(COUNTIF($A$2:$A$201,A167)&gt;1,"ID重复",IF(COUNTIF('任务登记'!$A$2:$A$201,B167)&lt;&gt;1,"任务ID无效","字段齐备"))))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10" t="str">
        <x:f>IF(COUNTA(A168:M168)=0,"",IF(OR(A168="",B168="",C168="",D168="",E168="",F168="",G168="",I168="",J168="",K168="",L168=""),"缺必填",IF(COUNTIF($A$2:$A$201,A168)&gt;1,"ID重复",IF(COUNTIF('任务登记'!$A$2:$A$201,B168)&lt;&gt;1,"任务ID无效","字段齐备"))))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10" t="str">
        <x:f>IF(COUNTA(A169:M169)=0,"",IF(OR(A169="",B169="",C169="",D169="",E169="",F169="",G169="",I169="",J169="",K169="",L169=""),"缺必填",IF(COUNTIF($A$2:$A$201,A169)&gt;1,"ID重复",IF(COUNTIF('任务登记'!$A$2:$A$201,B169)&lt;&gt;1,"任务ID无效","字段齐备"))))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10" t="str">
        <x:f>IF(COUNTA(A170:M170)=0,"",IF(OR(A170="",B170="",C170="",D170="",E170="",F170="",G170="",I170="",J170="",K170="",L170=""),"缺必填",IF(COUNTIF($A$2:$A$201,A170)&gt;1,"ID重复",IF(COUNTIF('任务登记'!$A$2:$A$201,B170)&lt;&gt;1,"任务ID无效","字段齐备"))))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10" t="str">
        <x:f>IF(COUNTA(A171:M171)=0,"",IF(OR(A171="",B171="",C171="",D171="",E171="",F171="",G171="",I171="",J171="",K171="",L171=""),"缺必填",IF(COUNTIF($A$2:$A$201,A171)&gt;1,"ID重复",IF(COUNTIF('任务登记'!$A$2:$A$201,B171)&lt;&gt;1,"任务ID无效","字段齐备"))))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10" t="str">
        <x:f>IF(COUNTA(A172:M172)=0,"",IF(OR(A172="",B172="",C172="",D172="",E172="",F172="",G172="",I172="",J172="",K172="",L172=""),"缺必填",IF(COUNTIF($A$2:$A$201,A172)&gt;1,"ID重复",IF(COUNTIF('任务登记'!$A$2:$A$201,B172)&lt;&gt;1,"任务ID无效","字段齐备"))))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10" t="str">
        <x:f>IF(COUNTA(A173:M173)=0,"",IF(OR(A173="",B173="",C173="",D173="",E173="",F173="",G173="",I173="",J173="",K173="",L173=""),"缺必填",IF(COUNTIF($A$2:$A$201,A173)&gt;1,"ID重复",IF(COUNTIF('任务登记'!$A$2:$A$201,B173)&lt;&gt;1,"任务ID无效","字段齐备"))))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10" t="str">
        <x:f>IF(COUNTA(A174:M174)=0,"",IF(OR(A174="",B174="",C174="",D174="",E174="",F174="",G174="",I174="",J174="",K174="",L174=""),"缺必填",IF(COUNTIF($A$2:$A$201,A174)&gt;1,"ID重复",IF(COUNTIF('任务登记'!$A$2:$A$201,B174)&lt;&gt;1,"任务ID无效","字段齐备"))))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10" t="str">
        <x:f>IF(COUNTA(A175:M175)=0,"",IF(OR(A175="",B175="",C175="",D175="",E175="",F175="",G175="",I175="",J175="",K175="",L175=""),"缺必填",IF(COUNTIF($A$2:$A$201,A175)&gt;1,"ID重复",IF(COUNTIF('任务登记'!$A$2:$A$201,B175)&lt;&gt;1,"任务ID无效","字段齐备"))))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10" t="str">
        <x:f>IF(COUNTA(A176:M176)=0,"",IF(OR(A176="",B176="",C176="",D176="",E176="",F176="",G176="",I176="",J176="",K176="",L176=""),"缺必填",IF(COUNTIF($A$2:$A$201,A176)&gt;1,"ID重复",IF(COUNTIF('任务登记'!$A$2:$A$201,B176)&lt;&gt;1,"任务ID无效","字段齐备"))))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10" t="str">
        <x:f>IF(COUNTA(A177:M177)=0,"",IF(OR(A177="",B177="",C177="",D177="",E177="",F177="",G177="",I177="",J177="",K177="",L177=""),"缺必填",IF(COUNTIF($A$2:$A$201,A177)&gt;1,"ID重复",IF(COUNTIF('任务登记'!$A$2:$A$201,B177)&lt;&gt;1,"任务ID无效","字段齐备"))))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10" t="str">
        <x:f>IF(COUNTA(A178:M178)=0,"",IF(OR(A178="",B178="",C178="",D178="",E178="",F178="",G178="",I178="",J178="",K178="",L178=""),"缺必填",IF(COUNTIF($A$2:$A$201,A178)&gt;1,"ID重复",IF(COUNTIF('任务登记'!$A$2:$A$201,B178)&lt;&gt;1,"任务ID无效","字段齐备"))))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10" t="str">
        <x:f>IF(COUNTA(A179:M179)=0,"",IF(OR(A179="",B179="",C179="",D179="",E179="",F179="",G179="",I179="",J179="",K179="",L179=""),"缺必填",IF(COUNTIF($A$2:$A$201,A179)&gt;1,"ID重复",IF(COUNTIF('任务登记'!$A$2:$A$201,B179)&lt;&gt;1,"任务ID无效","字段齐备"))))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10" t="str">
        <x:f>IF(COUNTA(A180:M180)=0,"",IF(OR(A180="",B180="",C180="",D180="",E180="",F180="",G180="",I180="",J180="",K180="",L180=""),"缺必填",IF(COUNTIF($A$2:$A$201,A180)&gt;1,"ID重复",IF(COUNTIF('任务登记'!$A$2:$A$201,B180)&lt;&gt;1,"任务ID无效","字段齐备"))))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10" t="str">
        <x:f>IF(COUNTA(A181:M181)=0,"",IF(OR(A181="",B181="",C181="",D181="",E181="",F181="",G181="",I181="",J181="",K181="",L181=""),"缺必填",IF(COUNTIF($A$2:$A$201,A181)&gt;1,"ID重复",IF(COUNTIF('任务登记'!$A$2:$A$201,B181)&lt;&gt;1,"任务ID无效","字段齐备"))))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10" t="str">
        <x:f>IF(COUNTA(A182:M182)=0,"",IF(OR(A182="",B182="",C182="",D182="",E182="",F182="",G182="",I182="",J182="",K182="",L182=""),"缺必填",IF(COUNTIF($A$2:$A$201,A182)&gt;1,"ID重复",IF(COUNTIF('任务登记'!$A$2:$A$201,B182)&lt;&gt;1,"任务ID无效","字段齐备"))))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10" t="str">
        <x:f>IF(COUNTA(A183:M183)=0,"",IF(OR(A183="",B183="",C183="",D183="",E183="",F183="",G183="",I183="",J183="",K183="",L183=""),"缺必填",IF(COUNTIF($A$2:$A$201,A183)&gt;1,"ID重复",IF(COUNTIF('任务登记'!$A$2:$A$201,B183)&lt;&gt;1,"任务ID无效","字段齐备"))))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10" t="str">
        <x:f>IF(COUNTA(A184:M184)=0,"",IF(OR(A184="",B184="",C184="",D184="",E184="",F184="",G184="",I184="",J184="",K184="",L184=""),"缺必填",IF(COUNTIF($A$2:$A$201,A184)&gt;1,"ID重复",IF(COUNTIF('任务登记'!$A$2:$A$201,B184)&lt;&gt;1,"任务ID无效","字段齐备"))))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10" t="str">
        <x:f>IF(COUNTA(A185:M185)=0,"",IF(OR(A185="",B185="",C185="",D185="",E185="",F185="",G185="",I185="",J185="",K185="",L185=""),"缺必填",IF(COUNTIF($A$2:$A$201,A185)&gt;1,"ID重复",IF(COUNTIF('任务登记'!$A$2:$A$201,B185)&lt;&gt;1,"任务ID无效","字段齐备"))))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10" t="str">
        <x:f>IF(COUNTA(A186:M186)=0,"",IF(OR(A186="",B186="",C186="",D186="",E186="",F186="",G186="",I186="",J186="",K186="",L186=""),"缺必填",IF(COUNTIF($A$2:$A$201,A186)&gt;1,"ID重复",IF(COUNTIF('任务登记'!$A$2:$A$201,B186)&lt;&gt;1,"任务ID无效","字段齐备"))))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10" t="str">
        <x:f>IF(COUNTA(A187:M187)=0,"",IF(OR(A187="",B187="",C187="",D187="",E187="",F187="",G187="",I187="",J187="",K187="",L187=""),"缺必填",IF(COUNTIF($A$2:$A$201,A187)&gt;1,"ID重复",IF(COUNTIF('任务登记'!$A$2:$A$201,B187)&lt;&gt;1,"任务ID无效","字段齐备"))))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10" t="str">
        <x:f>IF(COUNTA(A188:M188)=0,"",IF(OR(A188="",B188="",C188="",D188="",E188="",F188="",G188="",I188="",J188="",K188="",L188=""),"缺必填",IF(COUNTIF($A$2:$A$201,A188)&gt;1,"ID重复",IF(COUNTIF('任务登记'!$A$2:$A$201,B188)&lt;&gt;1,"任务ID无效","字段齐备"))))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10" t="str">
        <x:f>IF(COUNTA(A189:M189)=0,"",IF(OR(A189="",B189="",C189="",D189="",E189="",F189="",G189="",I189="",J189="",K189="",L189=""),"缺必填",IF(COUNTIF($A$2:$A$201,A189)&gt;1,"ID重复",IF(COUNTIF('任务登记'!$A$2:$A$201,B189)&lt;&gt;1,"任务ID无效","字段齐备"))))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10" t="str">
        <x:f>IF(COUNTA(A190:M190)=0,"",IF(OR(A190="",B190="",C190="",D190="",E190="",F190="",G190="",I190="",J190="",K190="",L190=""),"缺必填",IF(COUNTIF($A$2:$A$201,A190)&gt;1,"ID重复",IF(COUNTIF('任务登记'!$A$2:$A$201,B190)&lt;&gt;1,"任务ID无效","字段齐备"))))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10" t="str">
        <x:f>IF(COUNTA(A191:M191)=0,"",IF(OR(A191="",B191="",C191="",D191="",E191="",F191="",G191="",I191="",J191="",K191="",L191=""),"缺必填",IF(COUNTIF($A$2:$A$201,A191)&gt;1,"ID重复",IF(COUNTIF('任务登记'!$A$2:$A$201,B191)&lt;&gt;1,"任务ID无效","字段齐备"))))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10" t="str">
        <x:f>IF(COUNTA(A192:M192)=0,"",IF(OR(A192="",B192="",C192="",D192="",E192="",F192="",G192="",I192="",J192="",K192="",L192=""),"缺必填",IF(COUNTIF($A$2:$A$201,A192)&gt;1,"ID重复",IF(COUNTIF('任务登记'!$A$2:$A$201,B192)&lt;&gt;1,"任务ID无效","字段齐备"))))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10" t="str">
        <x:f>IF(COUNTA(A193:M193)=0,"",IF(OR(A193="",B193="",C193="",D193="",E193="",F193="",G193="",I193="",J193="",K193="",L193=""),"缺必填",IF(COUNTIF($A$2:$A$201,A193)&gt;1,"ID重复",IF(COUNTIF('任务登记'!$A$2:$A$201,B193)&lt;&gt;1,"任务ID无效","字段齐备"))))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10" t="str">
        <x:f>IF(COUNTA(A194:M194)=0,"",IF(OR(A194="",B194="",C194="",D194="",E194="",F194="",G194="",I194="",J194="",K194="",L194=""),"缺必填",IF(COUNTIF($A$2:$A$201,A194)&gt;1,"ID重复",IF(COUNTIF('任务登记'!$A$2:$A$201,B194)&lt;&gt;1,"任务ID无效","字段齐备"))))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10" t="str">
        <x:f>IF(COUNTA(A195:M195)=0,"",IF(OR(A195="",B195="",C195="",D195="",E195="",F195="",G195="",I195="",J195="",K195="",L195=""),"缺必填",IF(COUNTIF($A$2:$A$201,A195)&gt;1,"ID重复",IF(COUNTIF('任务登记'!$A$2:$A$201,B195)&lt;&gt;1,"任务ID无效","字段齐备"))))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10" t="str">
        <x:f>IF(COUNTA(A196:M196)=0,"",IF(OR(A196="",B196="",C196="",D196="",E196="",F196="",G196="",I196="",J196="",K196="",L196=""),"缺必填",IF(COUNTIF($A$2:$A$201,A196)&gt;1,"ID重复",IF(COUNTIF('任务登记'!$A$2:$A$201,B196)&lt;&gt;1,"任务ID无效","字段齐备"))))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10" t="str">
        <x:f>IF(COUNTA(A197:M197)=0,"",IF(OR(A197="",B197="",C197="",D197="",E197="",F197="",G197="",I197="",J197="",K197="",L197=""),"缺必填",IF(COUNTIF($A$2:$A$201,A197)&gt;1,"ID重复",IF(COUNTIF('任务登记'!$A$2:$A$201,B197)&lt;&gt;1,"任务ID无效","字段齐备"))))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10" t="str">
        <x:f>IF(COUNTA(A198:M198)=0,"",IF(OR(A198="",B198="",C198="",D198="",E198="",F198="",G198="",I198="",J198="",K198="",L198=""),"缺必填",IF(COUNTIF($A$2:$A$201,A198)&gt;1,"ID重复",IF(COUNTIF('任务登记'!$A$2:$A$201,B198)&lt;&gt;1,"任务ID无效","字段齐备"))))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10" t="str">
        <x:f>IF(COUNTA(A199:M199)=0,"",IF(OR(A199="",B199="",C199="",D199="",E199="",F199="",G199="",I199="",J199="",K199="",L199=""),"缺必填",IF(COUNTIF($A$2:$A$201,A199)&gt;1,"ID重复",IF(COUNTIF('任务登记'!$A$2:$A$201,B199)&lt;&gt;1,"任务ID无效","字段齐备"))))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10" t="str">
        <x:f>IF(COUNTA(A200:M200)=0,"",IF(OR(A200="",B200="",C200="",D200="",E200="",F200="",G200="",I200="",J200="",K200="",L200=""),"缺必填",IF(COUNTIF($A$2:$A$201,A200)&gt;1,"ID重复",IF(COUNTIF('任务登记'!$A$2:$A$201,B200)&lt;&gt;1,"任务ID无效","字段齐备"))))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10" t="str">
        <x:f>IF(COUNTA(A201:M201)=0,"",IF(OR(A201="",B201="",C201="",D201="",E201="",F201="",G201="",I201="",J201="",K201="",L201=""),"缺必填",IF(COUNTIF($A$2:$A$201,A201)&gt;1,"ID重复",IF(COUNTIF('任务登记'!$A$2:$A$201,B201)&lt;&gt;1,"任务ID无效","字段齐备"))))</x:f>
      </x:c>
    </x:row>
  </x:sheetData>
  <x:conditionalFormatting sqref="A2:N201">
    <x:cfRule type="expression" dxfId="5" priority="1">
      <x:formula>AND($N2&lt;&gt;"",$N2&lt;&gt;"字段齐备")</x:formula>
    </x:cfRule>
  </x:conditionalFormatting>
  <x:dataValidations count="2">
    <x:dataValidation type="list" sqref="C2:C201">
      <x:formula1>"账户提供,技术支持,广告引流,诈骗沟通,指令传递,被害人处分财产,资金入账,资金中转,提现,换汇,虚拟资产转换,跨境转移,风险预警,告知接收,整改停止,其他"</x:formula1>
    </x:dataValidation>
    <x:dataValidation type="list" sqref="L2:L201">
      <x:formula1>"材料支持,材料反对,存在冲突,信息不足,不适用"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98523374c412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  <x:col min="10" max="10" width="22" hidden="0" customWidth="1"/>
    <x:col min="11" max="11" width="44" hidden="0" customWidth="1"/>
    <x:col min="12" max="12" width="22" hidden="0" customWidth="1"/>
    <x:col min="13" max="13" width="20" hidden="0" customWidth="1"/>
  </x:cols>
  <x:sheetData>
    <x:row r="1" ht="52" customHeight="1">
      <x:c r="A1" s="6" t="str">
        <x:v>关系ID</x:v>
      </x:c>
      <x:c r="B1" s="6" t="str">
        <x:v>任务ID</x:v>
      </x:c>
      <x:c r="C1" s="6" t="str">
        <x:v>起点类型</x:v>
      </x:c>
      <x:c r="D1" s="6" t="str">
        <x:v>起点ID</x:v>
      </x:c>
      <x:c r="E1" s="6" t="str">
        <x:v>关系作用</x:v>
      </x:c>
      <x:c r="F1" s="6" t="str">
        <x:v>终点类型</x:v>
      </x:c>
      <x:c r="G1" s="6" t="str">
        <x:v>终点ID</x:v>
      </x:c>
      <x:c r="H1" s="6" t="str">
        <x:v>靶点或CQ</x:v>
      </x:c>
      <x:c r="I1" s="6" t="str">
        <x:v>来源片段ID</x:v>
      </x:c>
      <x:c r="J1" s="6" t="str">
        <x:v>有效时间或阶段</x:v>
      </x:c>
      <x:c r="K1" s="6" t="str">
        <x:v>作用说明</x:v>
      </x:c>
      <x:c r="L1" s="6" t="str">
        <x:v>关系状态</x:v>
      </x:c>
      <x:c r="M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10" t="str">
        <x:f>IF(COUNTA(A2:L2)=0,"",IF(OR(A2="",B2="",C2="",D2="",E2="",F2="",G2="",H2="",I2="",J2="",K2="",L2=""),"缺必填",IF(COUNTIF($A$2:$A$201,A2)&gt;1,"ID重复",IF(COUNTIF('任务登记'!$A$2:$A$201,B2)&lt;&gt;1,"任务ID无效","字段齐备"))))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10" t="str">
        <x:f>IF(COUNTA(A3:L3)=0,"",IF(OR(A3="",B3="",C3="",D3="",E3="",F3="",G3="",H3="",I3="",J3="",K3="",L3=""),"缺必填",IF(COUNTIF($A$2:$A$201,A3)&gt;1,"ID重复",IF(COUNTIF('任务登记'!$A$2:$A$201,B3)&lt;&gt;1,"任务ID无效","字段齐备"))))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10" t="str">
        <x:f>IF(COUNTA(A4:L4)=0,"",IF(OR(A4="",B4="",C4="",D4="",E4="",F4="",G4="",H4="",I4="",J4="",K4="",L4=""),"缺必填",IF(COUNTIF($A$2:$A$201,A4)&gt;1,"ID重复",IF(COUNTIF('任务登记'!$A$2:$A$201,B4)&lt;&gt;1,"任务ID无效","字段齐备"))))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10" t="str">
        <x:f>IF(COUNTA(A5:L5)=0,"",IF(OR(A5="",B5="",C5="",D5="",E5="",F5="",G5="",H5="",I5="",J5="",K5="",L5=""),"缺必填",IF(COUNTIF($A$2:$A$201,A5)&gt;1,"ID重复",IF(COUNTIF('任务登记'!$A$2:$A$201,B5)&lt;&gt;1,"任务ID无效","字段齐备"))))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10" t="str">
        <x:f>IF(COUNTA(A6:L6)=0,"",IF(OR(A6="",B6="",C6="",D6="",E6="",F6="",G6="",H6="",I6="",J6="",K6="",L6=""),"缺必填",IF(COUNTIF($A$2:$A$201,A6)&gt;1,"ID重复",IF(COUNTIF('任务登记'!$A$2:$A$201,B6)&lt;&gt;1,"任务ID无效","字段齐备"))))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10" t="str">
        <x:f>IF(COUNTA(A7:L7)=0,"",IF(OR(A7="",B7="",C7="",D7="",E7="",F7="",G7="",H7="",I7="",J7="",K7="",L7=""),"缺必填",IF(COUNTIF($A$2:$A$201,A7)&gt;1,"ID重复",IF(COUNTIF('任务登记'!$A$2:$A$201,B7)&lt;&gt;1,"任务ID无效","字段齐备"))))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10" t="str">
        <x:f>IF(COUNTA(A8:L8)=0,"",IF(OR(A8="",B8="",C8="",D8="",E8="",F8="",G8="",H8="",I8="",J8="",K8="",L8=""),"缺必填",IF(COUNTIF($A$2:$A$201,A8)&gt;1,"ID重复",IF(COUNTIF('任务登记'!$A$2:$A$201,B8)&lt;&gt;1,"任务ID无效","字段齐备"))))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10" t="str">
        <x:f>IF(COUNTA(A9:L9)=0,"",IF(OR(A9="",B9="",C9="",D9="",E9="",F9="",G9="",H9="",I9="",J9="",K9="",L9=""),"缺必填",IF(COUNTIF($A$2:$A$201,A9)&gt;1,"ID重复",IF(COUNTIF('任务登记'!$A$2:$A$201,B9)&lt;&gt;1,"任务ID无效","字段齐备"))))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10" t="str">
        <x:f>IF(COUNTA(A10:L10)=0,"",IF(OR(A10="",B10="",C10="",D10="",E10="",F10="",G10="",H10="",I10="",J10="",K10="",L10=""),"缺必填",IF(COUNTIF($A$2:$A$201,A10)&gt;1,"ID重复",IF(COUNTIF('任务登记'!$A$2:$A$201,B10)&lt;&gt;1,"任务ID无效","字段齐备"))))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10" t="str">
        <x:f>IF(COUNTA(A11:L11)=0,"",IF(OR(A11="",B11="",C11="",D11="",E11="",F11="",G11="",H11="",I11="",J11="",K11="",L11=""),"缺必填",IF(COUNTIF($A$2:$A$201,A11)&gt;1,"ID重复",IF(COUNTIF('任务登记'!$A$2:$A$201,B11)&lt;&gt;1,"任务ID无效","字段齐备"))))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10" t="str">
        <x:f>IF(COUNTA(A12:L12)=0,"",IF(OR(A12="",B12="",C12="",D12="",E12="",F12="",G12="",H12="",I12="",J12="",K12="",L12=""),"缺必填",IF(COUNTIF($A$2:$A$201,A12)&gt;1,"ID重复",IF(COUNTIF('任务登记'!$A$2:$A$201,B12)&lt;&gt;1,"任务ID无效","字段齐备"))))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10" t="str">
        <x:f>IF(COUNTA(A13:L13)=0,"",IF(OR(A13="",B13="",C13="",D13="",E13="",F13="",G13="",H13="",I13="",J13="",K13="",L13=""),"缺必填",IF(COUNTIF($A$2:$A$201,A13)&gt;1,"ID重复",IF(COUNTIF('任务登记'!$A$2:$A$201,B13)&lt;&gt;1,"任务ID无效","字段齐备"))))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10" t="str">
        <x:f>IF(COUNTA(A14:L14)=0,"",IF(OR(A14="",B14="",C14="",D14="",E14="",F14="",G14="",H14="",I14="",J14="",K14="",L14=""),"缺必填",IF(COUNTIF($A$2:$A$201,A14)&gt;1,"ID重复",IF(COUNTIF('任务登记'!$A$2:$A$201,B14)&lt;&gt;1,"任务ID无效","字段齐备"))))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10" t="str">
        <x:f>IF(COUNTA(A15:L15)=0,"",IF(OR(A15="",B15="",C15="",D15="",E15="",F15="",G15="",H15="",I15="",J15="",K15="",L15=""),"缺必填",IF(COUNTIF($A$2:$A$201,A15)&gt;1,"ID重复",IF(COUNTIF('任务登记'!$A$2:$A$201,B15)&lt;&gt;1,"任务ID无效","字段齐备"))))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10" t="str">
        <x:f>IF(COUNTA(A16:L16)=0,"",IF(OR(A16="",B16="",C16="",D16="",E16="",F16="",G16="",H16="",I16="",J16="",K16="",L16=""),"缺必填",IF(COUNTIF($A$2:$A$201,A16)&gt;1,"ID重复",IF(COUNTIF('任务登记'!$A$2:$A$201,B16)&lt;&gt;1,"任务ID无效","字段齐备"))))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10" t="str">
        <x:f>IF(COUNTA(A17:L17)=0,"",IF(OR(A17="",B17="",C17="",D17="",E17="",F17="",G17="",H17="",I17="",J17="",K17="",L17=""),"缺必填",IF(COUNTIF($A$2:$A$201,A17)&gt;1,"ID重复",IF(COUNTIF('任务登记'!$A$2:$A$201,B17)&lt;&gt;1,"任务ID无效","字段齐备"))))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10" t="str">
        <x:f>IF(COUNTA(A18:L18)=0,"",IF(OR(A18="",B18="",C18="",D18="",E18="",F18="",G18="",H18="",I18="",J18="",K18="",L18=""),"缺必填",IF(COUNTIF($A$2:$A$201,A18)&gt;1,"ID重复",IF(COUNTIF('任务登记'!$A$2:$A$201,B18)&lt;&gt;1,"任务ID无效","字段齐备"))))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10" t="str">
        <x:f>IF(COUNTA(A19:L19)=0,"",IF(OR(A19="",B19="",C19="",D19="",E19="",F19="",G19="",H19="",I19="",J19="",K19="",L19=""),"缺必填",IF(COUNTIF($A$2:$A$201,A19)&gt;1,"ID重复",IF(COUNTIF('任务登记'!$A$2:$A$201,B19)&lt;&gt;1,"任务ID无效","字段齐备"))))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10" t="str">
        <x:f>IF(COUNTA(A20:L20)=0,"",IF(OR(A20="",B20="",C20="",D20="",E20="",F20="",G20="",H20="",I20="",J20="",K20="",L20=""),"缺必填",IF(COUNTIF($A$2:$A$201,A20)&gt;1,"ID重复",IF(COUNTIF('任务登记'!$A$2:$A$201,B20)&lt;&gt;1,"任务ID无效","字段齐备"))))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10" t="str">
        <x:f>IF(COUNTA(A21:L21)=0,"",IF(OR(A21="",B21="",C21="",D21="",E21="",F21="",G21="",H21="",I21="",J21="",K21="",L21=""),"缺必填",IF(COUNTIF($A$2:$A$201,A21)&gt;1,"ID重复",IF(COUNTIF('任务登记'!$A$2:$A$201,B21)&lt;&gt;1,"任务ID无效","字段齐备"))))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10" t="str">
        <x:f>IF(COUNTA(A22:L22)=0,"",IF(OR(A22="",B22="",C22="",D22="",E22="",F22="",G22="",H22="",I22="",J22="",K22="",L22=""),"缺必填",IF(COUNTIF($A$2:$A$201,A22)&gt;1,"ID重复",IF(COUNTIF('任务登记'!$A$2:$A$201,B22)&lt;&gt;1,"任务ID无效","字段齐备"))))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10" t="str">
        <x:f>IF(COUNTA(A23:L23)=0,"",IF(OR(A23="",B23="",C23="",D23="",E23="",F23="",G23="",H23="",I23="",J23="",K23="",L23=""),"缺必填",IF(COUNTIF($A$2:$A$201,A23)&gt;1,"ID重复",IF(COUNTIF('任务登记'!$A$2:$A$201,B23)&lt;&gt;1,"任务ID无效","字段齐备"))))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10" t="str">
        <x:f>IF(COUNTA(A24:L24)=0,"",IF(OR(A24="",B24="",C24="",D24="",E24="",F24="",G24="",H24="",I24="",J24="",K24="",L24=""),"缺必填",IF(COUNTIF($A$2:$A$201,A24)&gt;1,"ID重复",IF(COUNTIF('任务登记'!$A$2:$A$201,B24)&lt;&gt;1,"任务ID无效","字段齐备"))))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10" t="str">
        <x:f>IF(COUNTA(A25:L25)=0,"",IF(OR(A25="",B25="",C25="",D25="",E25="",F25="",G25="",H25="",I25="",J25="",K25="",L25=""),"缺必填",IF(COUNTIF($A$2:$A$201,A25)&gt;1,"ID重复",IF(COUNTIF('任务登记'!$A$2:$A$201,B25)&lt;&gt;1,"任务ID无效","字段齐备"))))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10" t="str">
        <x:f>IF(COUNTA(A26:L26)=0,"",IF(OR(A26="",B26="",C26="",D26="",E26="",F26="",G26="",H26="",I26="",J26="",K26="",L26=""),"缺必填",IF(COUNTIF($A$2:$A$201,A26)&gt;1,"ID重复",IF(COUNTIF('任务登记'!$A$2:$A$201,B26)&lt;&gt;1,"任务ID无效","字段齐备"))))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10" t="str">
        <x:f>IF(COUNTA(A27:L27)=0,"",IF(OR(A27="",B27="",C27="",D27="",E27="",F27="",G27="",H27="",I27="",J27="",K27="",L27=""),"缺必填",IF(COUNTIF($A$2:$A$201,A27)&gt;1,"ID重复",IF(COUNTIF('任务登记'!$A$2:$A$201,B27)&lt;&gt;1,"任务ID无效","字段齐备"))))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10" t="str">
        <x:f>IF(COUNTA(A28:L28)=0,"",IF(OR(A28="",B28="",C28="",D28="",E28="",F28="",G28="",H28="",I28="",J28="",K28="",L28=""),"缺必填",IF(COUNTIF($A$2:$A$201,A28)&gt;1,"ID重复",IF(COUNTIF('任务登记'!$A$2:$A$201,B28)&lt;&gt;1,"任务ID无效","字段齐备"))))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10" t="str">
        <x:f>IF(COUNTA(A29:L29)=0,"",IF(OR(A29="",B29="",C29="",D29="",E29="",F29="",G29="",H29="",I29="",J29="",K29="",L29=""),"缺必填",IF(COUNTIF($A$2:$A$201,A29)&gt;1,"ID重复",IF(COUNTIF('任务登记'!$A$2:$A$201,B29)&lt;&gt;1,"任务ID无效","字段齐备"))))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10" t="str">
        <x:f>IF(COUNTA(A30:L30)=0,"",IF(OR(A30="",B30="",C30="",D30="",E30="",F30="",G30="",H30="",I30="",J30="",K30="",L30=""),"缺必填",IF(COUNTIF($A$2:$A$201,A30)&gt;1,"ID重复",IF(COUNTIF('任务登记'!$A$2:$A$201,B30)&lt;&gt;1,"任务ID无效","字段齐备"))))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10" t="str">
        <x:f>IF(COUNTA(A31:L31)=0,"",IF(OR(A31="",B31="",C31="",D31="",E31="",F31="",G31="",H31="",I31="",J31="",K31="",L31=""),"缺必填",IF(COUNTIF($A$2:$A$201,A31)&gt;1,"ID重复",IF(COUNTIF('任务登记'!$A$2:$A$201,B31)&lt;&gt;1,"任务ID无效","字段齐备"))))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10" t="str">
        <x:f>IF(COUNTA(A32:L32)=0,"",IF(OR(A32="",B32="",C32="",D32="",E32="",F32="",G32="",H32="",I32="",J32="",K32="",L32=""),"缺必填",IF(COUNTIF($A$2:$A$201,A32)&gt;1,"ID重复",IF(COUNTIF('任务登记'!$A$2:$A$201,B32)&lt;&gt;1,"任务ID无效","字段齐备"))))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10" t="str">
        <x:f>IF(COUNTA(A33:L33)=0,"",IF(OR(A33="",B33="",C33="",D33="",E33="",F33="",G33="",H33="",I33="",J33="",K33="",L33=""),"缺必填",IF(COUNTIF($A$2:$A$201,A33)&gt;1,"ID重复",IF(COUNTIF('任务登记'!$A$2:$A$201,B33)&lt;&gt;1,"任务ID无效","字段齐备"))))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10" t="str">
        <x:f>IF(COUNTA(A34:L34)=0,"",IF(OR(A34="",B34="",C34="",D34="",E34="",F34="",G34="",H34="",I34="",J34="",K34="",L34=""),"缺必填",IF(COUNTIF($A$2:$A$201,A34)&gt;1,"ID重复",IF(COUNTIF('任务登记'!$A$2:$A$201,B34)&lt;&gt;1,"任务ID无效","字段齐备"))))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10" t="str">
        <x:f>IF(COUNTA(A35:L35)=0,"",IF(OR(A35="",B35="",C35="",D35="",E35="",F35="",G35="",H35="",I35="",J35="",K35="",L35=""),"缺必填",IF(COUNTIF($A$2:$A$201,A35)&gt;1,"ID重复",IF(COUNTIF('任务登记'!$A$2:$A$201,B35)&lt;&gt;1,"任务ID无效","字段齐备"))))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10" t="str">
        <x:f>IF(COUNTA(A36:L36)=0,"",IF(OR(A36="",B36="",C36="",D36="",E36="",F36="",G36="",H36="",I36="",J36="",K36="",L36=""),"缺必填",IF(COUNTIF($A$2:$A$201,A36)&gt;1,"ID重复",IF(COUNTIF('任务登记'!$A$2:$A$201,B36)&lt;&gt;1,"任务ID无效","字段齐备"))))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10" t="str">
        <x:f>IF(COUNTA(A37:L37)=0,"",IF(OR(A37="",B37="",C37="",D37="",E37="",F37="",G37="",H37="",I37="",J37="",K37="",L37=""),"缺必填",IF(COUNTIF($A$2:$A$201,A37)&gt;1,"ID重复",IF(COUNTIF('任务登记'!$A$2:$A$201,B37)&lt;&gt;1,"任务ID无效","字段齐备"))))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10" t="str">
        <x:f>IF(COUNTA(A38:L38)=0,"",IF(OR(A38="",B38="",C38="",D38="",E38="",F38="",G38="",H38="",I38="",J38="",K38="",L38=""),"缺必填",IF(COUNTIF($A$2:$A$201,A38)&gt;1,"ID重复",IF(COUNTIF('任务登记'!$A$2:$A$201,B38)&lt;&gt;1,"任务ID无效","字段齐备"))))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10" t="str">
        <x:f>IF(COUNTA(A39:L39)=0,"",IF(OR(A39="",B39="",C39="",D39="",E39="",F39="",G39="",H39="",I39="",J39="",K39="",L39=""),"缺必填",IF(COUNTIF($A$2:$A$201,A39)&gt;1,"ID重复",IF(COUNTIF('任务登记'!$A$2:$A$201,B39)&lt;&gt;1,"任务ID无效","字段齐备"))))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10" t="str">
        <x:f>IF(COUNTA(A40:L40)=0,"",IF(OR(A40="",B40="",C40="",D40="",E40="",F40="",G40="",H40="",I40="",J40="",K40="",L40=""),"缺必填",IF(COUNTIF($A$2:$A$201,A40)&gt;1,"ID重复",IF(COUNTIF('任务登记'!$A$2:$A$201,B40)&lt;&gt;1,"任务ID无效","字段齐备"))))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10" t="str">
        <x:f>IF(COUNTA(A41:L41)=0,"",IF(OR(A41="",B41="",C41="",D41="",E41="",F41="",G41="",H41="",I41="",J41="",K41="",L41=""),"缺必填",IF(COUNTIF($A$2:$A$201,A41)&gt;1,"ID重复",IF(COUNTIF('任务登记'!$A$2:$A$201,B41)&lt;&gt;1,"任务ID无效","字段齐备"))))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10" t="str">
        <x:f>IF(COUNTA(A42:L42)=0,"",IF(OR(A42="",B42="",C42="",D42="",E42="",F42="",G42="",H42="",I42="",J42="",K42="",L42=""),"缺必填",IF(COUNTIF($A$2:$A$201,A42)&gt;1,"ID重复",IF(COUNTIF('任务登记'!$A$2:$A$201,B42)&lt;&gt;1,"任务ID无效","字段齐备"))))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10" t="str">
        <x:f>IF(COUNTA(A43:L43)=0,"",IF(OR(A43="",B43="",C43="",D43="",E43="",F43="",G43="",H43="",I43="",J43="",K43="",L43=""),"缺必填",IF(COUNTIF($A$2:$A$201,A43)&gt;1,"ID重复",IF(COUNTIF('任务登记'!$A$2:$A$201,B43)&lt;&gt;1,"任务ID无效","字段齐备"))))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10" t="str">
        <x:f>IF(COUNTA(A44:L44)=0,"",IF(OR(A44="",B44="",C44="",D44="",E44="",F44="",G44="",H44="",I44="",J44="",K44="",L44=""),"缺必填",IF(COUNTIF($A$2:$A$201,A44)&gt;1,"ID重复",IF(COUNTIF('任务登记'!$A$2:$A$201,B44)&lt;&gt;1,"任务ID无效","字段齐备"))))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10" t="str">
        <x:f>IF(COUNTA(A45:L45)=0,"",IF(OR(A45="",B45="",C45="",D45="",E45="",F45="",G45="",H45="",I45="",J45="",K45="",L45=""),"缺必填",IF(COUNTIF($A$2:$A$201,A45)&gt;1,"ID重复",IF(COUNTIF('任务登记'!$A$2:$A$201,B45)&lt;&gt;1,"任务ID无效","字段齐备"))))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10" t="str">
        <x:f>IF(COUNTA(A46:L46)=0,"",IF(OR(A46="",B46="",C46="",D46="",E46="",F46="",G46="",H46="",I46="",J46="",K46="",L46=""),"缺必填",IF(COUNTIF($A$2:$A$201,A46)&gt;1,"ID重复",IF(COUNTIF('任务登记'!$A$2:$A$201,B46)&lt;&gt;1,"任务ID无效","字段齐备"))))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10" t="str">
        <x:f>IF(COUNTA(A47:L47)=0,"",IF(OR(A47="",B47="",C47="",D47="",E47="",F47="",G47="",H47="",I47="",J47="",K47="",L47=""),"缺必填",IF(COUNTIF($A$2:$A$201,A47)&gt;1,"ID重复",IF(COUNTIF('任务登记'!$A$2:$A$201,B47)&lt;&gt;1,"任务ID无效","字段齐备"))))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10" t="str">
        <x:f>IF(COUNTA(A48:L48)=0,"",IF(OR(A48="",B48="",C48="",D48="",E48="",F48="",G48="",H48="",I48="",J48="",K48="",L48=""),"缺必填",IF(COUNTIF($A$2:$A$201,A48)&gt;1,"ID重复",IF(COUNTIF('任务登记'!$A$2:$A$201,B48)&lt;&gt;1,"任务ID无效","字段齐备"))))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10" t="str">
        <x:f>IF(COUNTA(A49:L49)=0,"",IF(OR(A49="",B49="",C49="",D49="",E49="",F49="",G49="",H49="",I49="",J49="",K49="",L49=""),"缺必填",IF(COUNTIF($A$2:$A$201,A49)&gt;1,"ID重复",IF(COUNTIF('任务登记'!$A$2:$A$201,B49)&lt;&gt;1,"任务ID无效","字段齐备"))))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10" t="str">
        <x:f>IF(COUNTA(A50:L50)=0,"",IF(OR(A50="",B50="",C50="",D50="",E50="",F50="",G50="",H50="",I50="",J50="",K50="",L50=""),"缺必填",IF(COUNTIF($A$2:$A$201,A50)&gt;1,"ID重复",IF(COUNTIF('任务登记'!$A$2:$A$201,B50)&lt;&gt;1,"任务ID无效","字段齐备"))))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10" t="str">
        <x:f>IF(COUNTA(A51:L51)=0,"",IF(OR(A51="",B51="",C51="",D51="",E51="",F51="",G51="",H51="",I51="",J51="",K51="",L51=""),"缺必填",IF(COUNTIF($A$2:$A$201,A51)&gt;1,"ID重复",IF(COUNTIF('任务登记'!$A$2:$A$201,B51)&lt;&gt;1,"任务ID无效","字段齐备"))))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10" t="str">
        <x:f>IF(COUNTA(A52:L52)=0,"",IF(OR(A52="",B52="",C52="",D52="",E52="",F52="",G52="",H52="",I52="",J52="",K52="",L52=""),"缺必填",IF(COUNTIF($A$2:$A$201,A52)&gt;1,"ID重复",IF(COUNTIF('任务登记'!$A$2:$A$201,B52)&lt;&gt;1,"任务ID无效","字段齐备"))))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10" t="str">
        <x:f>IF(COUNTA(A53:L53)=0,"",IF(OR(A53="",B53="",C53="",D53="",E53="",F53="",G53="",H53="",I53="",J53="",K53="",L53=""),"缺必填",IF(COUNTIF($A$2:$A$201,A53)&gt;1,"ID重复",IF(COUNTIF('任务登记'!$A$2:$A$201,B53)&lt;&gt;1,"任务ID无效","字段齐备"))))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10" t="str">
        <x:f>IF(COUNTA(A54:L54)=0,"",IF(OR(A54="",B54="",C54="",D54="",E54="",F54="",G54="",H54="",I54="",J54="",K54="",L54=""),"缺必填",IF(COUNTIF($A$2:$A$201,A54)&gt;1,"ID重复",IF(COUNTIF('任务登记'!$A$2:$A$201,B54)&lt;&gt;1,"任务ID无效","字段齐备"))))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10" t="str">
        <x:f>IF(COUNTA(A55:L55)=0,"",IF(OR(A55="",B55="",C55="",D55="",E55="",F55="",G55="",H55="",I55="",J55="",K55="",L55=""),"缺必填",IF(COUNTIF($A$2:$A$201,A55)&gt;1,"ID重复",IF(COUNTIF('任务登记'!$A$2:$A$201,B55)&lt;&gt;1,"任务ID无效","字段齐备"))))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10" t="str">
        <x:f>IF(COUNTA(A56:L56)=0,"",IF(OR(A56="",B56="",C56="",D56="",E56="",F56="",G56="",H56="",I56="",J56="",K56="",L56=""),"缺必填",IF(COUNTIF($A$2:$A$201,A56)&gt;1,"ID重复",IF(COUNTIF('任务登记'!$A$2:$A$201,B56)&lt;&gt;1,"任务ID无效","字段齐备"))))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10" t="str">
        <x:f>IF(COUNTA(A57:L57)=0,"",IF(OR(A57="",B57="",C57="",D57="",E57="",F57="",G57="",H57="",I57="",J57="",K57="",L57=""),"缺必填",IF(COUNTIF($A$2:$A$201,A57)&gt;1,"ID重复",IF(COUNTIF('任务登记'!$A$2:$A$201,B57)&lt;&gt;1,"任务ID无效","字段齐备"))))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10" t="str">
        <x:f>IF(COUNTA(A58:L58)=0,"",IF(OR(A58="",B58="",C58="",D58="",E58="",F58="",G58="",H58="",I58="",J58="",K58="",L58=""),"缺必填",IF(COUNTIF($A$2:$A$201,A58)&gt;1,"ID重复",IF(COUNTIF('任务登记'!$A$2:$A$201,B58)&lt;&gt;1,"任务ID无效","字段齐备"))))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10" t="str">
        <x:f>IF(COUNTA(A59:L59)=0,"",IF(OR(A59="",B59="",C59="",D59="",E59="",F59="",G59="",H59="",I59="",J59="",K59="",L59=""),"缺必填",IF(COUNTIF($A$2:$A$201,A59)&gt;1,"ID重复",IF(COUNTIF('任务登记'!$A$2:$A$201,B59)&lt;&gt;1,"任务ID无效","字段齐备"))))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10" t="str">
        <x:f>IF(COUNTA(A60:L60)=0,"",IF(OR(A60="",B60="",C60="",D60="",E60="",F60="",G60="",H60="",I60="",J60="",K60="",L60=""),"缺必填",IF(COUNTIF($A$2:$A$201,A60)&gt;1,"ID重复",IF(COUNTIF('任务登记'!$A$2:$A$201,B60)&lt;&gt;1,"任务ID无效","字段齐备"))))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10" t="str">
        <x:f>IF(COUNTA(A61:L61)=0,"",IF(OR(A61="",B61="",C61="",D61="",E61="",F61="",G61="",H61="",I61="",J61="",K61="",L61=""),"缺必填",IF(COUNTIF($A$2:$A$201,A61)&gt;1,"ID重复",IF(COUNTIF('任务登记'!$A$2:$A$201,B61)&lt;&gt;1,"任务ID无效","字段齐备"))))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10" t="str">
        <x:f>IF(COUNTA(A62:L62)=0,"",IF(OR(A62="",B62="",C62="",D62="",E62="",F62="",G62="",H62="",I62="",J62="",K62="",L62=""),"缺必填",IF(COUNTIF($A$2:$A$201,A62)&gt;1,"ID重复",IF(COUNTIF('任务登记'!$A$2:$A$201,B62)&lt;&gt;1,"任务ID无效","字段齐备"))))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10" t="str">
        <x:f>IF(COUNTA(A63:L63)=0,"",IF(OR(A63="",B63="",C63="",D63="",E63="",F63="",G63="",H63="",I63="",J63="",K63="",L63=""),"缺必填",IF(COUNTIF($A$2:$A$201,A63)&gt;1,"ID重复",IF(COUNTIF('任务登记'!$A$2:$A$201,B63)&lt;&gt;1,"任务ID无效","字段齐备"))))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10" t="str">
        <x:f>IF(COUNTA(A64:L64)=0,"",IF(OR(A64="",B64="",C64="",D64="",E64="",F64="",G64="",H64="",I64="",J64="",K64="",L64=""),"缺必填",IF(COUNTIF($A$2:$A$201,A64)&gt;1,"ID重复",IF(COUNTIF('任务登记'!$A$2:$A$201,B64)&lt;&gt;1,"任务ID无效","字段齐备"))))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10" t="str">
        <x:f>IF(COUNTA(A65:L65)=0,"",IF(OR(A65="",B65="",C65="",D65="",E65="",F65="",G65="",H65="",I65="",J65="",K65="",L65=""),"缺必填",IF(COUNTIF($A$2:$A$201,A65)&gt;1,"ID重复",IF(COUNTIF('任务登记'!$A$2:$A$201,B65)&lt;&gt;1,"任务ID无效","字段齐备"))))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10" t="str">
        <x:f>IF(COUNTA(A66:L66)=0,"",IF(OR(A66="",B66="",C66="",D66="",E66="",F66="",G66="",H66="",I66="",J66="",K66="",L66=""),"缺必填",IF(COUNTIF($A$2:$A$201,A66)&gt;1,"ID重复",IF(COUNTIF('任务登记'!$A$2:$A$201,B66)&lt;&gt;1,"任务ID无效","字段齐备"))))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10" t="str">
        <x:f>IF(COUNTA(A67:L67)=0,"",IF(OR(A67="",B67="",C67="",D67="",E67="",F67="",G67="",H67="",I67="",J67="",K67="",L67=""),"缺必填",IF(COUNTIF($A$2:$A$201,A67)&gt;1,"ID重复",IF(COUNTIF('任务登记'!$A$2:$A$201,B67)&lt;&gt;1,"任务ID无效","字段齐备"))))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10" t="str">
        <x:f>IF(COUNTA(A68:L68)=0,"",IF(OR(A68="",B68="",C68="",D68="",E68="",F68="",G68="",H68="",I68="",J68="",K68="",L68=""),"缺必填",IF(COUNTIF($A$2:$A$201,A68)&gt;1,"ID重复",IF(COUNTIF('任务登记'!$A$2:$A$201,B68)&lt;&gt;1,"任务ID无效","字段齐备"))))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10" t="str">
        <x:f>IF(COUNTA(A69:L69)=0,"",IF(OR(A69="",B69="",C69="",D69="",E69="",F69="",G69="",H69="",I69="",J69="",K69="",L69=""),"缺必填",IF(COUNTIF($A$2:$A$201,A69)&gt;1,"ID重复",IF(COUNTIF('任务登记'!$A$2:$A$201,B69)&lt;&gt;1,"任务ID无效","字段齐备"))))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10" t="str">
        <x:f>IF(COUNTA(A70:L70)=0,"",IF(OR(A70="",B70="",C70="",D70="",E70="",F70="",G70="",H70="",I70="",J70="",K70="",L70=""),"缺必填",IF(COUNTIF($A$2:$A$201,A70)&gt;1,"ID重复",IF(COUNTIF('任务登记'!$A$2:$A$201,B70)&lt;&gt;1,"任务ID无效","字段齐备"))))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10" t="str">
        <x:f>IF(COUNTA(A71:L71)=0,"",IF(OR(A71="",B71="",C71="",D71="",E71="",F71="",G71="",H71="",I71="",J71="",K71="",L71=""),"缺必填",IF(COUNTIF($A$2:$A$201,A71)&gt;1,"ID重复",IF(COUNTIF('任务登记'!$A$2:$A$201,B71)&lt;&gt;1,"任务ID无效","字段齐备"))))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10" t="str">
        <x:f>IF(COUNTA(A72:L72)=0,"",IF(OR(A72="",B72="",C72="",D72="",E72="",F72="",G72="",H72="",I72="",J72="",K72="",L72=""),"缺必填",IF(COUNTIF($A$2:$A$201,A72)&gt;1,"ID重复",IF(COUNTIF('任务登记'!$A$2:$A$201,B72)&lt;&gt;1,"任务ID无效","字段齐备"))))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10" t="str">
        <x:f>IF(COUNTA(A73:L73)=0,"",IF(OR(A73="",B73="",C73="",D73="",E73="",F73="",G73="",H73="",I73="",J73="",K73="",L73=""),"缺必填",IF(COUNTIF($A$2:$A$201,A73)&gt;1,"ID重复",IF(COUNTIF('任务登记'!$A$2:$A$201,B73)&lt;&gt;1,"任务ID无效","字段齐备"))))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10" t="str">
        <x:f>IF(COUNTA(A74:L74)=0,"",IF(OR(A74="",B74="",C74="",D74="",E74="",F74="",G74="",H74="",I74="",J74="",K74="",L74=""),"缺必填",IF(COUNTIF($A$2:$A$201,A74)&gt;1,"ID重复",IF(COUNTIF('任务登记'!$A$2:$A$201,B74)&lt;&gt;1,"任务ID无效","字段齐备"))))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10" t="str">
        <x:f>IF(COUNTA(A75:L75)=0,"",IF(OR(A75="",B75="",C75="",D75="",E75="",F75="",G75="",H75="",I75="",J75="",K75="",L75=""),"缺必填",IF(COUNTIF($A$2:$A$201,A75)&gt;1,"ID重复",IF(COUNTIF('任务登记'!$A$2:$A$201,B75)&lt;&gt;1,"任务ID无效","字段齐备"))))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10" t="str">
        <x:f>IF(COUNTA(A76:L76)=0,"",IF(OR(A76="",B76="",C76="",D76="",E76="",F76="",G76="",H76="",I76="",J76="",K76="",L76=""),"缺必填",IF(COUNTIF($A$2:$A$201,A76)&gt;1,"ID重复",IF(COUNTIF('任务登记'!$A$2:$A$201,B76)&lt;&gt;1,"任务ID无效","字段齐备"))))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10" t="str">
        <x:f>IF(COUNTA(A77:L77)=0,"",IF(OR(A77="",B77="",C77="",D77="",E77="",F77="",G77="",H77="",I77="",J77="",K77="",L77=""),"缺必填",IF(COUNTIF($A$2:$A$201,A77)&gt;1,"ID重复",IF(COUNTIF('任务登记'!$A$2:$A$201,B77)&lt;&gt;1,"任务ID无效","字段齐备"))))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10" t="str">
        <x:f>IF(COUNTA(A78:L78)=0,"",IF(OR(A78="",B78="",C78="",D78="",E78="",F78="",G78="",H78="",I78="",J78="",K78="",L78=""),"缺必填",IF(COUNTIF($A$2:$A$201,A78)&gt;1,"ID重复",IF(COUNTIF('任务登记'!$A$2:$A$201,B78)&lt;&gt;1,"任务ID无效","字段齐备"))))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10" t="str">
        <x:f>IF(COUNTA(A79:L79)=0,"",IF(OR(A79="",B79="",C79="",D79="",E79="",F79="",G79="",H79="",I79="",J79="",K79="",L79=""),"缺必填",IF(COUNTIF($A$2:$A$201,A79)&gt;1,"ID重复",IF(COUNTIF('任务登记'!$A$2:$A$201,B79)&lt;&gt;1,"任务ID无效","字段齐备"))))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10" t="str">
        <x:f>IF(COUNTA(A80:L80)=0,"",IF(OR(A80="",B80="",C80="",D80="",E80="",F80="",G80="",H80="",I80="",J80="",K80="",L80=""),"缺必填",IF(COUNTIF($A$2:$A$201,A80)&gt;1,"ID重复",IF(COUNTIF('任务登记'!$A$2:$A$201,B80)&lt;&gt;1,"任务ID无效","字段齐备"))))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10" t="str">
        <x:f>IF(COUNTA(A81:L81)=0,"",IF(OR(A81="",B81="",C81="",D81="",E81="",F81="",G81="",H81="",I81="",J81="",K81="",L81=""),"缺必填",IF(COUNTIF($A$2:$A$201,A81)&gt;1,"ID重复",IF(COUNTIF('任务登记'!$A$2:$A$201,B81)&lt;&gt;1,"任务ID无效","字段齐备"))))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10" t="str">
        <x:f>IF(COUNTA(A82:L82)=0,"",IF(OR(A82="",B82="",C82="",D82="",E82="",F82="",G82="",H82="",I82="",J82="",K82="",L82=""),"缺必填",IF(COUNTIF($A$2:$A$201,A82)&gt;1,"ID重复",IF(COUNTIF('任务登记'!$A$2:$A$201,B82)&lt;&gt;1,"任务ID无效","字段齐备"))))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10" t="str">
        <x:f>IF(COUNTA(A83:L83)=0,"",IF(OR(A83="",B83="",C83="",D83="",E83="",F83="",G83="",H83="",I83="",J83="",K83="",L83=""),"缺必填",IF(COUNTIF($A$2:$A$201,A83)&gt;1,"ID重复",IF(COUNTIF('任务登记'!$A$2:$A$201,B83)&lt;&gt;1,"任务ID无效","字段齐备"))))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10" t="str">
        <x:f>IF(COUNTA(A84:L84)=0,"",IF(OR(A84="",B84="",C84="",D84="",E84="",F84="",G84="",H84="",I84="",J84="",K84="",L84=""),"缺必填",IF(COUNTIF($A$2:$A$201,A84)&gt;1,"ID重复",IF(COUNTIF('任务登记'!$A$2:$A$201,B84)&lt;&gt;1,"任务ID无效","字段齐备"))))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10" t="str">
        <x:f>IF(COUNTA(A85:L85)=0,"",IF(OR(A85="",B85="",C85="",D85="",E85="",F85="",G85="",H85="",I85="",J85="",K85="",L85=""),"缺必填",IF(COUNTIF($A$2:$A$201,A85)&gt;1,"ID重复",IF(COUNTIF('任务登记'!$A$2:$A$201,B85)&lt;&gt;1,"任务ID无效","字段齐备"))))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10" t="str">
        <x:f>IF(COUNTA(A86:L86)=0,"",IF(OR(A86="",B86="",C86="",D86="",E86="",F86="",G86="",H86="",I86="",J86="",K86="",L86=""),"缺必填",IF(COUNTIF($A$2:$A$201,A86)&gt;1,"ID重复",IF(COUNTIF('任务登记'!$A$2:$A$201,B86)&lt;&gt;1,"任务ID无效","字段齐备"))))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10" t="str">
        <x:f>IF(COUNTA(A87:L87)=0,"",IF(OR(A87="",B87="",C87="",D87="",E87="",F87="",G87="",H87="",I87="",J87="",K87="",L87=""),"缺必填",IF(COUNTIF($A$2:$A$201,A87)&gt;1,"ID重复",IF(COUNTIF('任务登记'!$A$2:$A$201,B87)&lt;&gt;1,"任务ID无效","字段齐备"))))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10" t="str">
        <x:f>IF(COUNTA(A88:L88)=0,"",IF(OR(A88="",B88="",C88="",D88="",E88="",F88="",G88="",H88="",I88="",J88="",K88="",L88=""),"缺必填",IF(COUNTIF($A$2:$A$201,A88)&gt;1,"ID重复",IF(COUNTIF('任务登记'!$A$2:$A$201,B88)&lt;&gt;1,"任务ID无效","字段齐备"))))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10" t="str">
        <x:f>IF(COUNTA(A89:L89)=0,"",IF(OR(A89="",B89="",C89="",D89="",E89="",F89="",G89="",H89="",I89="",J89="",K89="",L89=""),"缺必填",IF(COUNTIF($A$2:$A$201,A89)&gt;1,"ID重复",IF(COUNTIF('任务登记'!$A$2:$A$201,B89)&lt;&gt;1,"任务ID无效","字段齐备"))))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10" t="str">
        <x:f>IF(COUNTA(A90:L90)=0,"",IF(OR(A90="",B90="",C90="",D90="",E90="",F90="",G90="",H90="",I90="",J90="",K90="",L90=""),"缺必填",IF(COUNTIF($A$2:$A$201,A90)&gt;1,"ID重复",IF(COUNTIF('任务登记'!$A$2:$A$201,B90)&lt;&gt;1,"任务ID无效","字段齐备"))))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10" t="str">
        <x:f>IF(COUNTA(A91:L91)=0,"",IF(OR(A91="",B91="",C91="",D91="",E91="",F91="",G91="",H91="",I91="",J91="",K91="",L91=""),"缺必填",IF(COUNTIF($A$2:$A$201,A91)&gt;1,"ID重复",IF(COUNTIF('任务登记'!$A$2:$A$201,B91)&lt;&gt;1,"任务ID无效","字段齐备"))))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10" t="str">
        <x:f>IF(COUNTA(A92:L92)=0,"",IF(OR(A92="",B92="",C92="",D92="",E92="",F92="",G92="",H92="",I92="",J92="",K92="",L92=""),"缺必填",IF(COUNTIF($A$2:$A$201,A92)&gt;1,"ID重复",IF(COUNTIF('任务登记'!$A$2:$A$201,B92)&lt;&gt;1,"任务ID无效","字段齐备"))))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10" t="str">
        <x:f>IF(COUNTA(A93:L93)=0,"",IF(OR(A93="",B93="",C93="",D93="",E93="",F93="",G93="",H93="",I93="",J93="",K93="",L93=""),"缺必填",IF(COUNTIF($A$2:$A$201,A93)&gt;1,"ID重复",IF(COUNTIF('任务登记'!$A$2:$A$201,B93)&lt;&gt;1,"任务ID无效","字段齐备"))))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10" t="str">
        <x:f>IF(COUNTA(A94:L94)=0,"",IF(OR(A94="",B94="",C94="",D94="",E94="",F94="",G94="",H94="",I94="",J94="",K94="",L94=""),"缺必填",IF(COUNTIF($A$2:$A$201,A94)&gt;1,"ID重复",IF(COUNTIF('任务登记'!$A$2:$A$201,B94)&lt;&gt;1,"任务ID无效","字段齐备"))))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10" t="str">
        <x:f>IF(COUNTA(A95:L95)=0,"",IF(OR(A95="",B95="",C95="",D95="",E95="",F95="",G95="",H95="",I95="",J95="",K95="",L95=""),"缺必填",IF(COUNTIF($A$2:$A$201,A95)&gt;1,"ID重复",IF(COUNTIF('任务登记'!$A$2:$A$201,B95)&lt;&gt;1,"任务ID无效","字段齐备"))))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10" t="str">
        <x:f>IF(COUNTA(A96:L96)=0,"",IF(OR(A96="",B96="",C96="",D96="",E96="",F96="",G96="",H96="",I96="",J96="",K96="",L96=""),"缺必填",IF(COUNTIF($A$2:$A$201,A96)&gt;1,"ID重复",IF(COUNTIF('任务登记'!$A$2:$A$201,B96)&lt;&gt;1,"任务ID无效","字段齐备"))))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10" t="str">
        <x:f>IF(COUNTA(A97:L97)=0,"",IF(OR(A97="",B97="",C97="",D97="",E97="",F97="",G97="",H97="",I97="",J97="",K97="",L97=""),"缺必填",IF(COUNTIF($A$2:$A$201,A97)&gt;1,"ID重复",IF(COUNTIF('任务登记'!$A$2:$A$201,B97)&lt;&gt;1,"任务ID无效","字段齐备"))))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10" t="str">
        <x:f>IF(COUNTA(A98:L98)=0,"",IF(OR(A98="",B98="",C98="",D98="",E98="",F98="",G98="",H98="",I98="",J98="",K98="",L98=""),"缺必填",IF(COUNTIF($A$2:$A$201,A98)&gt;1,"ID重复",IF(COUNTIF('任务登记'!$A$2:$A$201,B98)&lt;&gt;1,"任务ID无效","字段齐备"))))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10" t="str">
        <x:f>IF(COUNTA(A99:L99)=0,"",IF(OR(A99="",B99="",C99="",D99="",E99="",F99="",G99="",H99="",I99="",J99="",K99="",L99=""),"缺必填",IF(COUNTIF($A$2:$A$201,A99)&gt;1,"ID重复",IF(COUNTIF('任务登记'!$A$2:$A$201,B99)&lt;&gt;1,"任务ID无效","字段齐备"))))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10" t="str">
        <x:f>IF(COUNTA(A100:L100)=0,"",IF(OR(A100="",B100="",C100="",D100="",E100="",F100="",G100="",H100="",I100="",J100="",K100="",L100=""),"缺必填",IF(COUNTIF($A$2:$A$201,A100)&gt;1,"ID重复",IF(COUNTIF('任务登记'!$A$2:$A$201,B100)&lt;&gt;1,"任务ID无效","字段齐备"))))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10" t="str">
        <x:f>IF(COUNTA(A101:L101)=0,"",IF(OR(A101="",B101="",C101="",D101="",E101="",F101="",G101="",H101="",I101="",J101="",K101="",L101=""),"缺必填",IF(COUNTIF($A$2:$A$201,A101)&gt;1,"ID重复",IF(COUNTIF('任务登记'!$A$2:$A$201,B101)&lt;&gt;1,"任务ID无效","字段齐备"))))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10" t="str">
        <x:f>IF(COUNTA(A102:L102)=0,"",IF(OR(A102="",B102="",C102="",D102="",E102="",F102="",G102="",H102="",I102="",J102="",K102="",L102=""),"缺必填",IF(COUNTIF($A$2:$A$201,A102)&gt;1,"ID重复",IF(COUNTIF('任务登记'!$A$2:$A$201,B102)&lt;&gt;1,"任务ID无效","字段齐备"))))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10" t="str">
        <x:f>IF(COUNTA(A103:L103)=0,"",IF(OR(A103="",B103="",C103="",D103="",E103="",F103="",G103="",H103="",I103="",J103="",K103="",L103=""),"缺必填",IF(COUNTIF($A$2:$A$201,A103)&gt;1,"ID重复",IF(COUNTIF('任务登记'!$A$2:$A$201,B103)&lt;&gt;1,"任务ID无效","字段齐备"))))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10" t="str">
        <x:f>IF(COUNTA(A104:L104)=0,"",IF(OR(A104="",B104="",C104="",D104="",E104="",F104="",G104="",H104="",I104="",J104="",K104="",L104=""),"缺必填",IF(COUNTIF($A$2:$A$201,A104)&gt;1,"ID重复",IF(COUNTIF('任务登记'!$A$2:$A$201,B104)&lt;&gt;1,"任务ID无效","字段齐备"))))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10" t="str">
        <x:f>IF(COUNTA(A105:L105)=0,"",IF(OR(A105="",B105="",C105="",D105="",E105="",F105="",G105="",H105="",I105="",J105="",K105="",L105=""),"缺必填",IF(COUNTIF($A$2:$A$201,A105)&gt;1,"ID重复",IF(COUNTIF('任务登记'!$A$2:$A$201,B105)&lt;&gt;1,"任务ID无效","字段齐备"))))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10" t="str">
        <x:f>IF(COUNTA(A106:L106)=0,"",IF(OR(A106="",B106="",C106="",D106="",E106="",F106="",G106="",H106="",I106="",J106="",K106="",L106=""),"缺必填",IF(COUNTIF($A$2:$A$201,A106)&gt;1,"ID重复",IF(COUNTIF('任务登记'!$A$2:$A$201,B106)&lt;&gt;1,"任务ID无效","字段齐备"))))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10" t="str">
        <x:f>IF(COUNTA(A107:L107)=0,"",IF(OR(A107="",B107="",C107="",D107="",E107="",F107="",G107="",H107="",I107="",J107="",K107="",L107=""),"缺必填",IF(COUNTIF($A$2:$A$201,A107)&gt;1,"ID重复",IF(COUNTIF('任务登记'!$A$2:$A$201,B107)&lt;&gt;1,"任务ID无效","字段齐备"))))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10" t="str">
        <x:f>IF(COUNTA(A108:L108)=0,"",IF(OR(A108="",B108="",C108="",D108="",E108="",F108="",G108="",H108="",I108="",J108="",K108="",L108=""),"缺必填",IF(COUNTIF($A$2:$A$201,A108)&gt;1,"ID重复",IF(COUNTIF('任务登记'!$A$2:$A$201,B108)&lt;&gt;1,"任务ID无效","字段齐备"))))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10" t="str">
        <x:f>IF(COUNTA(A109:L109)=0,"",IF(OR(A109="",B109="",C109="",D109="",E109="",F109="",G109="",H109="",I109="",J109="",K109="",L109=""),"缺必填",IF(COUNTIF($A$2:$A$201,A109)&gt;1,"ID重复",IF(COUNTIF('任务登记'!$A$2:$A$201,B109)&lt;&gt;1,"任务ID无效","字段齐备"))))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10" t="str">
        <x:f>IF(COUNTA(A110:L110)=0,"",IF(OR(A110="",B110="",C110="",D110="",E110="",F110="",G110="",H110="",I110="",J110="",K110="",L110=""),"缺必填",IF(COUNTIF($A$2:$A$201,A110)&gt;1,"ID重复",IF(COUNTIF('任务登记'!$A$2:$A$201,B110)&lt;&gt;1,"任务ID无效","字段齐备"))))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10" t="str">
        <x:f>IF(COUNTA(A111:L111)=0,"",IF(OR(A111="",B111="",C111="",D111="",E111="",F111="",G111="",H111="",I111="",J111="",K111="",L111=""),"缺必填",IF(COUNTIF($A$2:$A$201,A111)&gt;1,"ID重复",IF(COUNTIF('任务登记'!$A$2:$A$201,B111)&lt;&gt;1,"任务ID无效","字段齐备"))))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10" t="str">
        <x:f>IF(COUNTA(A112:L112)=0,"",IF(OR(A112="",B112="",C112="",D112="",E112="",F112="",G112="",H112="",I112="",J112="",K112="",L112=""),"缺必填",IF(COUNTIF($A$2:$A$201,A112)&gt;1,"ID重复",IF(COUNTIF('任务登记'!$A$2:$A$201,B112)&lt;&gt;1,"任务ID无效","字段齐备"))))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10" t="str">
        <x:f>IF(COUNTA(A113:L113)=0,"",IF(OR(A113="",B113="",C113="",D113="",E113="",F113="",G113="",H113="",I113="",J113="",K113="",L113=""),"缺必填",IF(COUNTIF($A$2:$A$201,A113)&gt;1,"ID重复",IF(COUNTIF('任务登记'!$A$2:$A$201,B113)&lt;&gt;1,"任务ID无效","字段齐备"))))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10" t="str">
        <x:f>IF(COUNTA(A114:L114)=0,"",IF(OR(A114="",B114="",C114="",D114="",E114="",F114="",G114="",H114="",I114="",J114="",K114="",L114=""),"缺必填",IF(COUNTIF($A$2:$A$201,A114)&gt;1,"ID重复",IF(COUNTIF('任务登记'!$A$2:$A$201,B114)&lt;&gt;1,"任务ID无效","字段齐备"))))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10" t="str">
        <x:f>IF(COUNTA(A115:L115)=0,"",IF(OR(A115="",B115="",C115="",D115="",E115="",F115="",G115="",H115="",I115="",J115="",K115="",L115=""),"缺必填",IF(COUNTIF($A$2:$A$201,A115)&gt;1,"ID重复",IF(COUNTIF('任务登记'!$A$2:$A$201,B115)&lt;&gt;1,"任务ID无效","字段齐备"))))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10" t="str">
        <x:f>IF(COUNTA(A116:L116)=0,"",IF(OR(A116="",B116="",C116="",D116="",E116="",F116="",G116="",H116="",I116="",J116="",K116="",L116=""),"缺必填",IF(COUNTIF($A$2:$A$201,A116)&gt;1,"ID重复",IF(COUNTIF('任务登记'!$A$2:$A$201,B116)&lt;&gt;1,"任务ID无效","字段齐备"))))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10" t="str">
        <x:f>IF(COUNTA(A117:L117)=0,"",IF(OR(A117="",B117="",C117="",D117="",E117="",F117="",G117="",H117="",I117="",J117="",K117="",L117=""),"缺必填",IF(COUNTIF($A$2:$A$201,A117)&gt;1,"ID重复",IF(COUNTIF('任务登记'!$A$2:$A$201,B117)&lt;&gt;1,"任务ID无效","字段齐备"))))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10" t="str">
        <x:f>IF(COUNTA(A118:L118)=0,"",IF(OR(A118="",B118="",C118="",D118="",E118="",F118="",G118="",H118="",I118="",J118="",K118="",L118=""),"缺必填",IF(COUNTIF($A$2:$A$201,A118)&gt;1,"ID重复",IF(COUNTIF('任务登记'!$A$2:$A$201,B118)&lt;&gt;1,"任务ID无效","字段齐备"))))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10" t="str">
        <x:f>IF(COUNTA(A119:L119)=0,"",IF(OR(A119="",B119="",C119="",D119="",E119="",F119="",G119="",H119="",I119="",J119="",K119="",L119=""),"缺必填",IF(COUNTIF($A$2:$A$201,A119)&gt;1,"ID重复",IF(COUNTIF('任务登记'!$A$2:$A$201,B119)&lt;&gt;1,"任务ID无效","字段齐备"))))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10" t="str">
        <x:f>IF(COUNTA(A120:L120)=0,"",IF(OR(A120="",B120="",C120="",D120="",E120="",F120="",G120="",H120="",I120="",J120="",K120="",L120=""),"缺必填",IF(COUNTIF($A$2:$A$201,A120)&gt;1,"ID重复",IF(COUNTIF('任务登记'!$A$2:$A$201,B120)&lt;&gt;1,"任务ID无效","字段齐备"))))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10" t="str">
        <x:f>IF(COUNTA(A121:L121)=0,"",IF(OR(A121="",B121="",C121="",D121="",E121="",F121="",G121="",H121="",I121="",J121="",K121="",L121=""),"缺必填",IF(COUNTIF($A$2:$A$201,A121)&gt;1,"ID重复",IF(COUNTIF('任务登记'!$A$2:$A$201,B121)&lt;&gt;1,"任务ID无效","字段齐备"))))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10" t="str">
        <x:f>IF(COUNTA(A122:L122)=0,"",IF(OR(A122="",B122="",C122="",D122="",E122="",F122="",G122="",H122="",I122="",J122="",K122="",L122=""),"缺必填",IF(COUNTIF($A$2:$A$201,A122)&gt;1,"ID重复",IF(COUNTIF('任务登记'!$A$2:$A$201,B122)&lt;&gt;1,"任务ID无效","字段齐备"))))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10" t="str">
        <x:f>IF(COUNTA(A123:L123)=0,"",IF(OR(A123="",B123="",C123="",D123="",E123="",F123="",G123="",H123="",I123="",J123="",K123="",L123=""),"缺必填",IF(COUNTIF($A$2:$A$201,A123)&gt;1,"ID重复",IF(COUNTIF('任务登记'!$A$2:$A$201,B123)&lt;&gt;1,"任务ID无效","字段齐备"))))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10" t="str">
        <x:f>IF(COUNTA(A124:L124)=0,"",IF(OR(A124="",B124="",C124="",D124="",E124="",F124="",G124="",H124="",I124="",J124="",K124="",L124=""),"缺必填",IF(COUNTIF($A$2:$A$201,A124)&gt;1,"ID重复",IF(COUNTIF('任务登记'!$A$2:$A$201,B124)&lt;&gt;1,"任务ID无效","字段齐备"))))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10" t="str">
        <x:f>IF(COUNTA(A125:L125)=0,"",IF(OR(A125="",B125="",C125="",D125="",E125="",F125="",G125="",H125="",I125="",J125="",K125="",L125=""),"缺必填",IF(COUNTIF($A$2:$A$201,A125)&gt;1,"ID重复",IF(COUNTIF('任务登记'!$A$2:$A$201,B125)&lt;&gt;1,"任务ID无效","字段齐备"))))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10" t="str">
        <x:f>IF(COUNTA(A126:L126)=0,"",IF(OR(A126="",B126="",C126="",D126="",E126="",F126="",G126="",H126="",I126="",J126="",K126="",L126=""),"缺必填",IF(COUNTIF($A$2:$A$201,A126)&gt;1,"ID重复",IF(COUNTIF('任务登记'!$A$2:$A$201,B126)&lt;&gt;1,"任务ID无效","字段齐备"))))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10" t="str">
        <x:f>IF(COUNTA(A127:L127)=0,"",IF(OR(A127="",B127="",C127="",D127="",E127="",F127="",G127="",H127="",I127="",J127="",K127="",L127=""),"缺必填",IF(COUNTIF($A$2:$A$201,A127)&gt;1,"ID重复",IF(COUNTIF('任务登记'!$A$2:$A$201,B127)&lt;&gt;1,"任务ID无效","字段齐备"))))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10" t="str">
        <x:f>IF(COUNTA(A128:L128)=0,"",IF(OR(A128="",B128="",C128="",D128="",E128="",F128="",G128="",H128="",I128="",J128="",K128="",L128=""),"缺必填",IF(COUNTIF($A$2:$A$201,A128)&gt;1,"ID重复",IF(COUNTIF('任务登记'!$A$2:$A$201,B128)&lt;&gt;1,"任务ID无效","字段齐备"))))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10" t="str">
        <x:f>IF(COUNTA(A129:L129)=0,"",IF(OR(A129="",B129="",C129="",D129="",E129="",F129="",G129="",H129="",I129="",J129="",K129="",L129=""),"缺必填",IF(COUNTIF($A$2:$A$201,A129)&gt;1,"ID重复",IF(COUNTIF('任务登记'!$A$2:$A$201,B129)&lt;&gt;1,"任务ID无效","字段齐备"))))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10" t="str">
        <x:f>IF(COUNTA(A130:L130)=0,"",IF(OR(A130="",B130="",C130="",D130="",E130="",F130="",G130="",H130="",I130="",J130="",K130="",L130=""),"缺必填",IF(COUNTIF($A$2:$A$201,A130)&gt;1,"ID重复",IF(COUNTIF('任务登记'!$A$2:$A$201,B130)&lt;&gt;1,"任务ID无效","字段齐备"))))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10" t="str">
        <x:f>IF(COUNTA(A131:L131)=0,"",IF(OR(A131="",B131="",C131="",D131="",E131="",F131="",G131="",H131="",I131="",J131="",K131="",L131=""),"缺必填",IF(COUNTIF($A$2:$A$201,A131)&gt;1,"ID重复",IF(COUNTIF('任务登记'!$A$2:$A$201,B131)&lt;&gt;1,"任务ID无效","字段齐备"))))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10" t="str">
        <x:f>IF(COUNTA(A132:L132)=0,"",IF(OR(A132="",B132="",C132="",D132="",E132="",F132="",G132="",H132="",I132="",J132="",K132="",L132=""),"缺必填",IF(COUNTIF($A$2:$A$201,A132)&gt;1,"ID重复",IF(COUNTIF('任务登记'!$A$2:$A$201,B132)&lt;&gt;1,"任务ID无效","字段齐备"))))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10" t="str">
        <x:f>IF(COUNTA(A133:L133)=0,"",IF(OR(A133="",B133="",C133="",D133="",E133="",F133="",G133="",H133="",I133="",J133="",K133="",L133=""),"缺必填",IF(COUNTIF($A$2:$A$201,A133)&gt;1,"ID重复",IF(COUNTIF('任务登记'!$A$2:$A$201,B133)&lt;&gt;1,"任务ID无效","字段齐备"))))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10" t="str">
        <x:f>IF(COUNTA(A134:L134)=0,"",IF(OR(A134="",B134="",C134="",D134="",E134="",F134="",G134="",H134="",I134="",J134="",K134="",L134=""),"缺必填",IF(COUNTIF($A$2:$A$201,A134)&gt;1,"ID重复",IF(COUNTIF('任务登记'!$A$2:$A$201,B134)&lt;&gt;1,"任务ID无效","字段齐备"))))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10" t="str">
        <x:f>IF(COUNTA(A135:L135)=0,"",IF(OR(A135="",B135="",C135="",D135="",E135="",F135="",G135="",H135="",I135="",J135="",K135="",L135=""),"缺必填",IF(COUNTIF($A$2:$A$201,A135)&gt;1,"ID重复",IF(COUNTIF('任务登记'!$A$2:$A$201,B135)&lt;&gt;1,"任务ID无效","字段齐备"))))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10" t="str">
        <x:f>IF(COUNTA(A136:L136)=0,"",IF(OR(A136="",B136="",C136="",D136="",E136="",F136="",G136="",H136="",I136="",J136="",K136="",L136=""),"缺必填",IF(COUNTIF($A$2:$A$201,A136)&gt;1,"ID重复",IF(COUNTIF('任务登记'!$A$2:$A$201,B136)&lt;&gt;1,"任务ID无效","字段齐备"))))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10" t="str">
        <x:f>IF(COUNTA(A137:L137)=0,"",IF(OR(A137="",B137="",C137="",D137="",E137="",F137="",G137="",H137="",I137="",J137="",K137="",L137=""),"缺必填",IF(COUNTIF($A$2:$A$201,A137)&gt;1,"ID重复",IF(COUNTIF('任务登记'!$A$2:$A$201,B137)&lt;&gt;1,"任务ID无效","字段齐备"))))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10" t="str">
        <x:f>IF(COUNTA(A138:L138)=0,"",IF(OR(A138="",B138="",C138="",D138="",E138="",F138="",G138="",H138="",I138="",J138="",K138="",L138=""),"缺必填",IF(COUNTIF($A$2:$A$201,A138)&gt;1,"ID重复",IF(COUNTIF('任务登记'!$A$2:$A$201,B138)&lt;&gt;1,"任务ID无效","字段齐备"))))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10" t="str">
        <x:f>IF(COUNTA(A139:L139)=0,"",IF(OR(A139="",B139="",C139="",D139="",E139="",F139="",G139="",H139="",I139="",J139="",K139="",L139=""),"缺必填",IF(COUNTIF($A$2:$A$201,A139)&gt;1,"ID重复",IF(COUNTIF('任务登记'!$A$2:$A$201,B139)&lt;&gt;1,"任务ID无效","字段齐备"))))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10" t="str">
        <x:f>IF(COUNTA(A140:L140)=0,"",IF(OR(A140="",B140="",C140="",D140="",E140="",F140="",G140="",H140="",I140="",J140="",K140="",L140=""),"缺必填",IF(COUNTIF($A$2:$A$201,A140)&gt;1,"ID重复",IF(COUNTIF('任务登记'!$A$2:$A$201,B140)&lt;&gt;1,"任务ID无效","字段齐备"))))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10" t="str">
        <x:f>IF(COUNTA(A141:L141)=0,"",IF(OR(A141="",B141="",C141="",D141="",E141="",F141="",G141="",H141="",I141="",J141="",K141="",L141=""),"缺必填",IF(COUNTIF($A$2:$A$201,A141)&gt;1,"ID重复",IF(COUNTIF('任务登记'!$A$2:$A$201,B141)&lt;&gt;1,"任务ID无效","字段齐备"))))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10" t="str">
        <x:f>IF(COUNTA(A142:L142)=0,"",IF(OR(A142="",B142="",C142="",D142="",E142="",F142="",G142="",H142="",I142="",J142="",K142="",L142=""),"缺必填",IF(COUNTIF($A$2:$A$201,A142)&gt;1,"ID重复",IF(COUNTIF('任务登记'!$A$2:$A$201,B142)&lt;&gt;1,"任务ID无效","字段齐备"))))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10" t="str">
        <x:f>IF(COUNTA(A143:L143)=0,"",IF(OR(A143="",B143="",C143="",D143="",E143="",F143="",G143="",H143="",I143="",J143="",K143="",L143=""),"缺必填",IF(COUNTIF($A$2:$A$201,A143)&gt;1,"ID重复",IF(COUNTIF('任务登记'!$A$2:$A$201,B143)&lt;&gt;1,"任务ID无效","字段齐备"))))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10" t="str">
        <x:f>IF(COUNTA(A144:L144)=0,"",IF(OR(A144="",B144="",C144="",D144="",E144="",F144="",G144="",H144="",I144="",J144="",K144="",L144=""),"缺必填",IF(COUNTIF($A$2:$A$201,A144)&gt;1,"ID重复",IF(COUNTIF('任务登记'!$A$2:$A$201,B144)&lt;&gt;1,"任务ID无效","字段齐备"))))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10" t="str">
        <x:f>IF(COUNTA(A145:L145)=0,"",IF(OR(A145="",B145="",C145="",D145="",E145="",F145="",G145="",H145="",I145="",J145="",K145="",L145=""),"缺必填",IF(COUNTIF($A$2:$A$201,A145)&gt;1,"ID重复",IF(COUNTIF('任务登记'!$A$2:$A$201,B145)&lt;&gt;1,"任务ID无效","字段齐备"))))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10" t="str">
        <x:f>IF(COUNTA(A146:L146)=0,"",IF(OR(A146="",B146="",C146="",D146="",E146="",F146="",G146="",H146="",I146="",J146="",K146="",L146=""),"缺必填",IF(COUNTIF($A$2:$A$201,A146)&gt;1,"ID重复",IF(COUNTIF('任务登记'!$A$2:$A$201,B146)&lt;&gt;1,"任务ID无效","字段齐备"))))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10" t="str">
        <x:f>IF(COUNTA(A147:L147)=0,"",IF(OR(A147="",B147="",C147="",D147="",E147="",F147="",G147="",H147="",I147="",J147="",K147="",L147=""),"缺必填",IF(COUNTIF($A$2:$A$201,A147)&gt;1,"ID重复",IF(COUNTIF('任务登记'!$A$2:$A$201,B147)&lt;&gt;1,"任务ID无效","字段齐备"))))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10" t="str">
        <x:f>IF(COUNTA(A148:L148)=0,"",IF(OR(A148="",B148="",C148="",D148="",E148="",F148="",G148="",H148="",I148="",J148="",K148="",L148=""),"缺必填",IF(COUNTIF($A$2:$A$201,A148)&gt;1,"ID重复",IF(COUNTIF('任务登记'!$A$2:$A$201,B148)&lt;&gt;1,"任务ID无效","字段齐备"))))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10" t="str">
        <x:f>IF(COUNTA(A149:L149)=0,"",IF(OR(A149="",B149="",C149="",D149="",E149="",F149="",G149="",H149="",I149="",J149="",K149="",L149=""),"缺必填",IF(COUNTIF($A$2:$A$201,A149)&gt;1,"ID重复",IF(COUNTIF('任务登记'!$A$2:$A$201,B149)&lt;&gt;1,"任务ID无效","字段齐备"))))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10" t="str">
        <x:f>IF(COUNTA(A150:L150)=0,"",IF(OR(A150="",B150="",C150="",D150="",E150="",F150="",G150="",H150="",I150="",J150="",K150="",L150=""),"缺必填",IF(COUNTIF($A$2:$A$201,A150)&gt;1,"ID重复",IF(COUNTIF('任务登记'!$A$2:$A$201,B150)&lt;&gt;1,"任务ID无效","字段齐备"))))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10" t="str">
        <x:f>IF(COUNTA(A151:L151)=0,"",IF(OR(A151="",B151="",C151="",D151="",E151="",F151="",G151="",H151="",I151="",J151="",K151="",L151=""),"缺必填",IF(COUNTIF($A$2:$A$201,A151)&gt;1,"ID重复",IF(COUNTIF('任务登记'!$A$2:$A$201,B151)&lt;&gt;1,"任务ID无效","字段齐备"))))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10" t="str">
        <x:f>IF(COUNTA(A152:L152)=0,"",IF(OR(A152="",B152="",C152="",D152="",E152="",F152="",G152="",H152="",I152="",J152="",K152="",L152=""),"缺必填",IF(COUNTIF($A$2:$A$201,A152)&gt;1,"ID重复",IF(COUNTIF('任务登记'!$A$2:$A$201,B152)&lt;&gt;1,"任务ID无效","字段齐备"))))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10" t="str">
        <x:f>IF(COUNTA(A153:L153)=0,"",IF(OR(A153="",B153="",C153="",D153="",E153="",F153="",G153="",H153="",I153="",J153="",K153="",L153=""),"缺必填",IF(COUNTIF($A$2:$A$201,A153)&gt;1,"ID重复",IF(COUNTIF('任务登记'!$A$2:$A$201,B153)&lt;&gt;1,"任务ID无效","字段齐备"))))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10" t="str">
        <x:f>IF(COUNTA(A154:L154)=0,"",IF(OR(A154="",B154="",C154="",D154="",E154="",F154="",G154="",H154="",I154="",J154="",K154="",L154=""),"缺必填",IF(COUNTIF($A$2:$A$201,A154)&gt;1,"ID重复",IF(COUNTIF('任务登记'!$A$2:$A$201,B154)&lt;&gt;1,"任务ID无效","字段齐备"))))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10" t="str">
        <x:f>IF(COUNTA(A155:L155)=0,"",IF(OR(A155="",B155="",C155="",D155="",E155="",F155="",G155="",H155="",I155="",J155="",K155="",L155=""),"缺必填",IF(COUNTIF($A$2:$A$201,A155)&gt;1,"ID重复",IF(COUNTIF('任务登记'!$A$2:$A$201,B155)&lt;&gt;1,"任务ID无效","字段齐备"))))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10" t="str">
        <x:f>IF(COUNTA(A156:L156)=0,"",IF(OR(A156="",B156="",C156="",D156="",E156="",F156="",G156="",H156="",I156="",J156="",K156="",L156=""),"缺必填",IF(COUNTIF($A$2:$A$201,A156)&gt;1,"ID重复",IF(COUNTIF('任务登记'!$A$2:$A$201,B156)&lt;&gt;1,"任务ID无效","字段齐备"))))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10" t="str">
        <x:f>IF(COUNTA(A157:L157)=0,"",IF(OR(A157="",B157="",C157="",D157="",E157="",F157="",G157="",H157="",I157="",J157="",K157="",L157=""),"缺必填",IF(COUNTIF($A$2:$A$201,A157)&gt;1,"ID重复",IF(COUNTIF('任务登记'!$A$2:$A$201,B157)&lt;&gt;1,"任务ID无效","字段齐备"))))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10" t="str">
        <x:f>IF(COUNTA(A158:L158)=0,"",IF(OR(A158="",B158="",C158="",D158="",E158="",F158="",G158="",H158="",I158="",J158="",K158="",L158=""),"缺必填",IF(COUNTIF($A$2:$A$201,A158)&gt;1,"ID重复",IF(COUNTIF('任务登记'!$A$2:$A$201,B158)&lt;&gt;1,"任务ID无效","字段齐备"))))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10" t="str">
        <x:f>IF(COUNTA(A159:L159)=0,"",IF(OR(A159="",B159="",C159="",D159="",E159="",F159="",G159="",H159="",I159="",J159="",K159="",L159=""),"缺必填",IF(COUNTIF($A$2:$A$201,A159)&gt;1,"ID重复",IF(COUNTIF('任务登记'!$A$2:$A$201,B159)&lt;&gt;1,"任务ID无效","字段齐备"))))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10" t="str">
        <x:f>IF(COUNTA(A160:L160)=0,"",IF(OR(A160="",B160="",C160="",D160="",E160="",F160="",G160="",H160="",I160="",J160="",K160="",L160=""),"缺必填",IF(COUNTIF($A$2:$A$201,A160)&gt;1,"ID重复",IF(COUNTIF('任务登记'!$A$2:$A$201,B160)&lt;&gt;1,"任务ID无效","字段齐备"))))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10" t="str">
        <x:f>IF(COUNTA(A161:L161)=0,"",IF(OR(A161="",B161="",C161="",D161="",E161="",F161="",G161="",H161="",I161="",J161="",K161="",L161=""),"缺必填",IF(COUNTIF($A$2:$A$201,A161)&gt;1,"ID重复",IF(COUNTIF('任务登记'!$A$2:$A$201,B161)&lt;&gt;1,"任务ID无效","字段齐备"))))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10" t="str">
        <x:f>IF(COUNTA(A162:L162)=0,"",IF(OR(A162="",B162="",C162="",D162="",E162="",F162="",G162="",H162="",I162="",J162="",K162="",L162=""),"缺必填",IF(COUNTIF($A$2:$A$201,A162)&gt;1,"ID重复",IF(COUNTIF('任务登记'!$A$2:$A$201,B162)&lt;&gt;1,"任务ID无效","字段齐备"))))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10" t="str">
        <x:f>IF(COUNTA(A163:L163)=0,"",IF(OR(A163="",B163="",C163="",D163="",E163="",F163="",G163="",H163="",I163="",J163="",K163="",L163=""),"缺必填",IF(COUNTIF($A$2:$A$201,A163)&gt;1,"ID重复",IF(COUNTIF('任务登记'!$A$2:$A$201,B163)&lt;&gt;1,"任务ID无效","字段齐备"))))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10" t="str">
        <x:f>IF(COUNTA(A164:L164)=0,"",IF(OR(A164="",B164="",C164="",D164="",E164="",F164="",G164="",H164="",I164="",J164="",K164="",L164=""),"缺必填",IF(COUNTIF($A$2:$A$201,A164)&gt;1,"ID重复",IF(COUNTIF('任务登记'!$A$2:$A$201,B164)&lt;&gt;1,"任务ID无效","字段齐备"))))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10" t="str">
        <x:f>IF(COUNTA(A165:L165)=0,"",IF(OR(A165="",B165="",C165="",D165="",E165="",F165="",G165="",H165="",I165="",J165="",K165="",L165=""),"缺必填",IF(COUNTIF($A$2:$A$201,A165)&gt;1,"ID重复",IF(COUNTIF('任务登记'!$A$2:$A$201,B165)&lt;&gt;1,"任务ID无效","字段齐备"))))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10" t="str">
        <x:f>IF(COUNTA(A166:L166)=0,"",IF(OR(A166="",B166="",C166="",D166="",E166="",F166="",G166="",H166="",I166="",J166="",K166="",L166=""),"缺必填",IF(COUNTIF($A$2:$A$201,A166)&gt;1,"ID重复",IF(COUNTIF('任务登记'!$A$2:$A$201,B166)&lt;&gt;1,"任务ID无效","字段齐备"))))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10" t="str">
        <x:f>IF(COUNTA(A167:L167)=0,"",IF(OR(A167="",B167="",C167="",D167="",E167="",F167="",G167="",H167="",I167="",J167="",K167="",L167=""),"缺必填",IF(COUNTIF($A$2:$A$201,A167)&gt;1,"ID重复",IF(COUNTIF('任务登记'!$A$2:$A$201,B167)&lt;&gt;1,"任务ID无效","字段齐备"))))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10" t="str">
        <x:f>IF(COUNTA(A168:L168)=0,"",IF(OR(A168="",B168="",C168="",D168="",E168="",F168="",G168="",H168="",I168="",J168="",K168="",L168=""),"缺必填",IF(COUNTIF($A$2:$A$201,A168)&gt;1,"ID重复",IF(COUNTIF('任务登记'!$A$2:$A$201,B168)&lt;&gt;1,"任务ID无效","字段齐备"))))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10" t="str">
        <x:f>IF(COUNTA(A169:L169)=0,"",IF(OR(A169="",B169="",C169="",D169="",E169="",F169="",G169="",H169="",I169="",J169="",K169="",L169=""),"缺必填",IF(COUNTIF($A$2:$A$201,A169)&gt;1,"ID重复",IF(COUNTIF('任务登记'!$A$2:$A$201,B169)&lt;&gt;1,"任务ID无效","字段齐备"))))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10" t="str">
        <x:f>IF(COUNTA(A170:L170)=0,"",IF(OR(A170="",B170="",C170="",D170="",E170="",F170="",G170="",H170="",I170="",J170="",K170="",L170=""),"缺必填",IF(COUNTIF($A$2:$A$201,A170)&gt;1,"ID重复",IF(COUNTIF('任务登记'!$A$2:$A$201,B170)&lt;&gt;1,"任务ID无效","字段齐备"))))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10" t="str">
        <x:f>IF(COUNTA(A171:L171)=0,"",IF(OR(A171="",B171="",C171="",D171="",E171="",F171="",G171="",H171="",I171="",J171="",K171="",L171=""),"缺必填",IF(COUNTIF($A$2:$A$201,A171)&gt;1,"ID重复",IF(COUNTIF('任务登记'!$A$2:$A$201,B171)&lt;&gt;1,"任务ID无效","字段齐备"))))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10" t="str">
        <x:f>IF(COUNTA(A172:L172)=0,"",IF(OR(A172="",B172="",C172="",D172="",E172="",F172="",G172="",H172="",I172="",J172="",K172="",L172=""),"缺必填",IF(COUNTIF($A$2:$A$201,A172)&gt;1,"ID重复",IF(COUNTIF('任务登记'!$A$2:$A$201,B172)&lt;&gt;1,"任务ID无效","字段齐备"))))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10" t="str">
        <x:f>IF(COUNTA(A173:L173)=0,"",IF(OR(A173="",B173="",C173="",D173="",E173="",F173="",G173="",H173="",I173="",J173="",K173="",L173=""),"缺必填",IF(COUNTIF($A$2:$A$201,A173)&gt;1,"ID重复",IF(COUNTIF('任务登记'!$A$2:$A$201,B173)&lt;&gt;1,"任务ID无效","字段齐备"))))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10" t="str">
        <x:f>IF(COUNTA(A174:L174)=0,"",IF(OR(A174="",B174="",C174="",D174="",E174="",F174="",G174="",H174="",I174="",J174="",K174="",L174=""),"缺必填",IF(COUNTIF($A$2:$A$201,A174)&gt;1,"ID重复",IF(COUNTIF('任务登记'!$A$2:$A$201,B174)&lt;&gt;1,"任务ID无效","字段齐备"))))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10" t="str">
        <x:f>IF(COUNTA(A175:L175)=0,"",IF(OR(A175="",B175="",C175="",D175="",E175="",F175="",G175="",H175="",I175="",J175="",K175="",L175=""),"缺必填",IF(COUNTIF($A$2:$A$201,A175)&gt;1,"ID重复",IF(COUNTIF('任务登记'!$A$2:$A$201,B175)&lt;&gt;1,"任务ID无效","字段齐备"))))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10" t="str">
        <x:f>IF(COUNTA(A176:L176)=0,"",IF(OR(A176="",B176="",C176="",D176="",E176="",F176="",G176="",H176="",I176="",J176="",K176="",L176=""),"缺必填",IF(COUNTIF($A$2:$A$201,A176)&gt;1,"ID重复",IF(COUNTIF('任务登记'!$A$2:$A$201,B176)&lt;&gt;1,"任务ID无效","字段齐备"))))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10" t="str">
        <x:f>IF(COUNTA(A177:L177)=0,"",IF(OR(A177="",B177="",C177="",D177="",E177="",F177="",G177="",H177="",I177="",J177="",K177="",L177=""),"缺必填",IF(COUNTIF($A$2:$A$201,A177)&gt;1,"ID重复",IF(COUNTIF('任务登记'!$A$2:$A$201,B177)&lt;&gt;1,"任务ID无效","字段齐备"))))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10" t="str">
        <x:f>IF(COUNTA(A178:L178)=0,"",IF(OR(A178="",B178="",C178="",D178="",E178="",F178="",G178="",H178="",I178="",J178="",K178="",L178=""),"缺必填",IF(COUNTIF($A$2:$A$201,A178)&gt;1,"ID重复",IF(COUNTIF('任务登记'!$A$2:$A$201,B178)&lt;&gt;1,"任务ID无效","字段齐备"))))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10" t="str">
        <x:f>IF(COUNTA(A179:L179)=0,"",IF(OR(A179="",B179="",C179="",D179="",E179="",F179="",G179="",H179="",I179="",J179="",K179="",L179=""),"缺必填",IF(COUNTIF($A$2:$A$201,A179)&gt;1,"ID重复",IF(COUNTIF('任务登记'!$A$2:$A$201,B179)&lt;&gt;1,"任务ID无效","字段齐备"))))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10" t="str">
        <x:f>IF(COUNTA(A180:L180)=0,"",IF(OR(A180="",B180="",C180="",D180="",E180="",F180="",G180="",H180="",I180="",J180="",K180="",L180=""),"缺必填",IF(COUNTIF($A$2:$A$201,A180)&gt;1,"ID重复",IF(COUNTIF('任务登记'!$A$2:$A$201,B180)&lt;&gt;1,"任务ID无效","字段齐备"))))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10" t="str">
        <x:f>IF(COUNTA(A181:L181)=0,"",IF(OR(A181="",B181="",C181="",D181="",E181="",F181="",G181="",H181="",I181="",J181="",K181="",L181=""),"缺必填",IF(COUNTIF($A$2:$A$201,A181)&gt;1,"ID重复",IF(COUNTIF('任务登记'!$A$2:$A$201,B181)&lt;&gt;1,"任务ID无效","字段齐备"))))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10" t="str">
        <x:f>IF(COUNTA(A182:L182)=0,"",IF(OR(A182="",B182="",C182="",D182="",E182="",F182="",G182="",H182="",I182="",J182="",K182="",L182=""),"缺必填",IF(COUNTIF($A$2:$A$201,A182)&gt;1,"ID重复",IF(COUNTIF('任务登记'!$A$2:$A$201,B182)&lt;&gt;1,"任务ID无效","字段齐备"))))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10" t="str">
        <x:f>IF(COUNTA(A183:L183)=0,"",IF(OR(A183="",B183="",C183="",D183="",E183="",F183="",G183="",H183="",I183="",J183="",K183="",L183=""),"缺必填",IF(COUNTIF($A$2:$A$201,A183)&gt;1,"ID重复",IF(COUNTIF('任务登记'!$A$2:$A$201,B183)&lt;&gt;1,"任务ID无效","字段齐备"))))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10" t="str">
        <x:f>IF(COUNTA(A184:L184)=0,"",IF(OR(A184="",B184="",C184="",D184="",E184="",F184="",G184="",H184="",I184="",J184="",K184="",L184=""),"缺必填",IF(COUNTIF($A$2:$A$201,A184)&gt;1,"ID重复",IF(COUNTIF('任务登记'!$A$2:$A$201,B184)&lt;&gt;1,"任务ID无效","字段齐备"))))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10" t="str">
        <x:f>IF(COUNTA(A185:L185)=0,"",IF(OR(A185="",B185="",C185="",D185="",E185="",F185="",G185="",H185="",I185="",J185="",K185="",L185=""),"缺必填",IF(COUNTIF($A$2:$A$201,A185)&gt;1,"ID重复",IF(COUNTIF('任务登记'!$A$2:$A$201,B185)&lt;&gt;1,"任务ID无效","字段齐备"))))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10" t="str">
        <x:f>IF(COUNTA(A186:L186)=0,"",IF(OR(A186="",B186="",C186="",D186="",E186="",F186="",G186="",H186="",I186="",J186="",K186="",L186=""),"缺必填",IF(COUNTIF($A$2:$A$201,A186)&gt;1,"ID重复",IF(COUNTIF('任务登记'!$A$2:$A$201,B186)&lt;&gt;1,"任务ID无效","字段齐备"))))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10" t="str">
        <x:f>IF(COUNTA(A187:L187)=0,"",IF(OR(A187="",B187="",C187="",D187="",E187="",F187="",G187="",H187="",I187="",J187="",K187="",L187=""),"缺必填",IF(COUNTIF($A$2:$A$201,A187)&gt;1,"ID重复",IF(COUNTIF('任务登记'!$A$2:$A$201,B187)&lt;&gt;1,"任务ID无效","字段齐备"))))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10" t="str">
        <x:f>IF(COUNTA(A188:L188)=0,"",IF(OR(A188="",B188="",C188="",D188="",E188="",F188="",G188="",H188="",I188="",J188="",K188="",L188=""),"缺必填",IF(COUNTIF($A$2:$A$201,A188)&gt;1,"ID重复",IF(COUNTIF('任务登记'!$A$2:$A$201,B188)&lt;&gt;1,"任务ID无效","字段齐备"))))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10" t="str">
        <x:f>IF(COUNTA(A189:L189)=0,"",IF(OR(A189="",B189="",C189="",D189="",E189="",F189="",G189="",H189="",I189="",J189="",K189="",L189=""),"缺必填",IF(COUNTIF($A$2:$A$201,A189)&gt;1,"ID重复",IF(COUNTIF('任务登记'!$A$2:$A$201,B189)&lt;&gt;1,"任务ID无效","字段齐备"))))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10" t="str">
        <x:f>IF(COUNTA(A190:L190)=0,"",IF(OR(A190="",B190="",C190="",D190="",E190="",F190="",G190="",H190="",I190="",J190="",K190="",L190=""),"缺必填",IF(COUNTIF($A$2:$A$201,A190)&gt;1,"ID重复",IF(COUNTIF('任务登记'!$A$2:$A$201,B190)&lt;&gt;1,"任务ID无效","字段齐备"))))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10" t="str">
        <x:f>IF(COUNTA(A191:L191)=0,"",IF(OR(A191="",B191="",C191="",D191="",E191="",F191="",G191="",H191="",I191="",J191="",K191="",L191=""),"缺必填",IF(COUNTIF($A$2:$A$201,A191)&gt;1,"ID重复",IF(COUNTIF('任务登记'!$A$2:$A$201,B191)&lt;&gt;1,"任务ID无效","字段齐备"))))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10" t="str">
        <x:f>IF(COUNTA(A192:L192)=0,"",IF(OR(A192="",B192="",C192="",D192="",E192="",F192="",G192="",H192="",I192="",J192="",K192="",L192=""),"缺必填",IF(COUNTIF($A$2:$A$201,A192)&gt;1,"ID重复",IF(COUNTIF('任务登记'!$A$2:$A$201,B192)&lt;&gt;1,"任务ID无效","字段齐备"))))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10" t="str">
        <x:f>IF(COUNTA(A193:L193)=0,"",IF(OR(A193="",B193="",C193="",D193="",E193="",F193="",G193="",H193="",I193="",J193="",K193="",L193=""),"缺必填",IF(COUNTIF($A$2:$A$201,A193)&gt;1,"ID重复",IF(COUNTIF('任务登记'!$A$2:$A$201,B193)&lt;&gt;1,"任务ID无效","字段齐备"))))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10" t="str">
        <x:f>IF(COUNTA(A194:L194)=0,"",IF(OR(A194="",B194="",C194="",D194="",E194="",F194="",G194="",H194="",I194="",J194="",K194="",L194=""),"缺必填",IF(COUNTIF($A$2:$A$201,A194)&gt;1,"ID重复",IF(COUNTIF('任务登记'!$A$2:$A$201,B194)&lt;&gt;1,"任务ID无效","字段齐备"))))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10" t="str">
        <x:f>IF(COUNTA(A195:L195)=0,"",IF(OR(A195="",B195="",C195="",D195="",E195="",F195="",G195="",H195="",I195="",J195="",K195="",L195=""),"缺必填",IF(COUNTIF($A$2:$A$201,A195)&gt;1,"ID重复",IF(COUNTIF('任务登记'!$A$2:$A$201,B195)&lt;&gt;1,"任务ID无效","字段齐备"))))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10" t="str">
        <x:f>IF(COUNTA(A196:L196)=0,"",IF(OR(A196="",B196="",C196="",D196="",E196="",F196="",G196="",H196="",I196="",J196="",K196="",L196=""),"缺必填",IF(COUNTIF($A$2:$A$201,A196)&gt;1,"ID重复",IF(COUNTIF('任务登记'!$A$2:$A$201,B196)&lt;&gt;1,"任务ID无效","字段齐备"))))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10" t="str">
        <x:f>IF(COUNTA(A197:L197)=0,"",IF(OR(A197="",B197="",C197="",D197="",E197="",F197="",G197="",H197="",I197="",J197="",K197="",L197=""),"缺必填",IF(COUNTIF($A$2:$A$201,A197)&gt;1,"ID重复",IF(COUNTIF('任务登记'!$A$2:$A$201,B197)&lt;&gt;1,"任务ID无效","字段齐备"))))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10" t="str">
        <x:f>IF(COUNTA(A198:L198)=0,"",IF(OR(A198="",B198="",C198="",D198="",E198="",F198="",G198="",H198="",I198="",J198="",K198="",L198=""),"缺必填",IF(COUNTIF($A$2:$A$201,A198)&gt;1,"ID重复",IF(COUNTIF('任务登记'!$A$2:$A$201,B198)&lt;&gt;1,"任务ID无效","字段齐备"))))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10" t="str">
        <x:f>IF(COUNTA(A199:L199)=0,"",IF(OR(A199="",B199="",C199="",D199="",E199="",F199="",G199="",H199="",I199="",J199="",K199="",L199=""),"缺必填",IF(COUNTIF($A$2:$A$201,A199)&gt;1,"ID重复",IF(COUNTIF('任务登记'!$A$2:$A$201,B199)&lt;&gt;1,"任务ID无效","字段齐备"))))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10" t="str">
        <x:f>IF(COUNTA(A200:L200)=0,"",IF(OR(A200="",B200="",C200="",D200="",E200="",F200="",G200="",H200="",I200="",J200="",K200="",L200=""),"缺必填",IF(COUNTIF($A$2:$A$201,A200)&gt;1,"ID重复",IF(COUNTIF('任务登记'!$A$2:$A$201,B200)&lt;&gt;1,"任务ID无效","字段齐备"))))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10" t="str">
        <x:f>IF(COUNTA(A201:L201)=0,"",IF(OR(A201="",B201="",C201="",D201="",E201="",F201="",G201="",H201="",I201="",J201="",K201="",L201=""),"缺必填",IF(COUNTIF($A$2:$A$201,A201)&gt;1,"ID重复",IF(COUNTIF('任务登记'!$A$2:$A$201,B201)&lt;&gt;1,"任务ID无效","字段齐备"))))</x:f>
      </x:c>
    </x:row>
  </x:sheetData>
  <x:conditionalFormatting sqref="A2:M201">
    <x:cfRule type="expression" dxfId="6" priority="1">
      <x:formula>AND($M2&lt;&gt;"",$M2&lt;&gt;"字段齐备")</x:formula>
    </x:cfRule>
  </x:conditionalFormatting>
  <x:dataValidations count="4">
    <x:dataValidation type="list" sqref="C2:C201">
      <x:formula1>"材料,片段,实体,事件,要件,论证,金额,更新,扩展"</x:formula1>
    </x:dataValidation>
    <x:dataValidation type="list" sqref="E2:E201">
      <x:formula1>"实施,指令,协助,接收,持有,实际控制,操作,支持,挑战,回应,撤回更正,保持见证,同源转述,派生依赖,其他"</x:formula1>
    </x:dataValidation>
    <x:dataValidation type="list" sqref="F2:F201">
      <x:formula1>"材料,片段,实体,事件,要件,论证,金额,更新,扩展"</x:formula1>
    </x:dataValidation>
    <x:dataValidation type="list" sqref="H2:H201">
      <x:formula1>"CQ01主体归属,CQ02时间先后,CQ03认识对象,CQ04来源可靠性,CQ05共同来源,CQ06正常业务解释,CQ07推断关联,CQ08资金形成及口径,CQ09共同分工,CQ10规范前提,CQ11证明责任,CQ12范围传播,不适用"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c9eedfa40042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4" hidden="0" customWidth="1"/>
    <x:col min="14" max="14" width="30" hidden="0" customWidth="1"/>
    <x:col min="15" max="15" width="30" hidden="0" customWidth="1"/>
    <x:col min="16" max="16" width="44" hidden="0" customWidth="1"/>
    <x:col min="17" max="17" width="20" hidden="0" customWidth="1"/>
  </x:cols>
  <x:sheetData>
    <x:row r="1" ht="52" customHeight="1">
      <x:c r="A1" s="6" t="str">
        <x:v>金额ID</x:v>
      </x:c>
      <x:c r="B1" s="6" t="str">
        <x:v>任务ID</x:v>
      </x:c>
      <x:c r="C1" s="6" t="str">
        <x:v>行为人ID</x:v>
      </x:c>
      <x:c r="D1" s="6" t="str">
        <x:v>关联事件ID</x:v>
      </x:c>
      <x:c r="E1" s="6" t="str">
        <x:v>金额类型</x:v>
      </x:c>
      <x:c r="F1" s="6" t="str">
        <x:v>金额原值</x:v>
      </x:c>
      <x:c r="G1" s="6" t="str">
        <x:v>币种</x:v>
      </x:c>
      <x:c r="H1" s="6" t="str">
        <x:v>原单位</x:v>
      </x:c>
      <x:c r="I1" s="6" t="str">
        <x:v>金额状态</x:v>
      </x:c>
      <x:c r="J1" s="6" t="str">
        <x:v>统计方向</x:v>
      </x:c>
      <x:c r="K1" s="6" t="str">
        <x:v>个人归集期间</x:v>
      </x:c>
      <x:c r="L1" s="6" t="str">
        <x:v>去重批次ID</x:v>
      </x:c>
      <x:c r="M1" s="6" t="str">
        <x:v>计入规则与排除项</x:v>
      </x:c>
      <x:c r="N1" s="6" t="str">
        <x:v>来源片段ID</x:v>
      </x:c>
      <x:c r="O1" s="6" t="str">
        <x:v>规范ID</x:v>
      </x:c>
      <x:c r="P1" s="6" t="str">
        <x:v>缺失说明</x:v>
      </x:c>
      <x:c r="Q1" s="6" t="str">
        <x:v>记录检查</x:v>
      </x:c>
    </x:row>
    <x:row r="2" ht="32" customHeight="1">
      <x:c r="A2" s="8"/>
      <x:c r="B2" s="8"/>
      <x:c r="C2" s="8"/>
      <x:c r="D2" s="8"/>
      <x:c r="E2" s="8"/>
      <x:c r="F2" s="11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10" t="str">
        <x:f>IF(COUNTA(A2:P2)=0,"",IF(OR(A2="",B2="",C2="",D2="",E2="",G2="",H2="",I2="",J2="",K2="",L2="",M2="",N2=""),"缺必填",IF(COUNTIF($A$2:$A$201,A2)&gt;1,"ID重复",IF(COUNTIF('任务登记'!$A$2:$A$201,B2)&lt;&gt;1,"任务ID无效",IF(AND(ISBLANK(F2),P2=""),"缺金额说明",IF(AND(NOT(ISBLANK(F2)),OR(NOT(ISNUMBER(F2)),F2&lt;0)),"金额须为非负数","字段齐备"))))))</x:f>
      </x:c>
    </x:row>
    <x:row r="3" ht="32" customHeight="1">
      <x:c r="A3" s="8"/>
      <x:c r="B3" s="8"/>
      <x:c r="C3" s="8"/>
      <x:c r="D3" s="8"/>
      <x:c r="E3" s="8"/>
      <x:c r="F3" s="11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10" t="str">
        <x:f>IF(COUNTA(A3:P3)=0,"",IF(OR(A3="",B3="",C3="",D3="",E3="",G3="",H3="",I3="",J3="",K3="",L3="",M3="",N3=""),"缺必填",IF(COUNTIF($A$2:$A$201,A3)&gt;1,"ID重复",IF(COUNTIF('任务登记'!$A$2:$A$201,B3)&lt;&gt;1,"任务ID无效",IF(AND(ISBLANK(F3),P3=""),"缺金额说明",IF(AND(NOT(ISBLANK(F3)),OR(NOT(ISNUMBER(F3)),F3&lt;0)),"金额须为非负数","字段齐备"))))))</x:f>
      </x:c>
    </x:row>
    <x:row r="4" ht="32" customHeight="1">
      <x:c r="A4" s="8"/>
      <x:c r="B4" s="8"/>
      <x:c r="C4" s="8"/>
      <x:c r="D4" s="8"/>
      <x:c r="E4" s="8"/>
      <x:c r="F4" s="11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10" t="str">
        <x:f>IF(COUNTA(A4:P4)=0,"",IF(OR(A4="",B4="",C4="",D4="",E4="",G4="",H4="",I4="",J4="",K4="",L4="",M4="",N4=""),"缺必填",IF(COUNTIF($A$2:$A$201,A4)&gt;1,"ID重复",IF(COUNTIF('任务登记'!$A$2:$A$201,B4)&lt;&gt;1,"任务ID无效",IF(AND(ISBLANK(F4),P4=""),"缺金额说明",IF(AND(NOT(ISBLANK(F4)),OR(NOT(ISNUMBER(F4)),F4&lt;0)),"金额须为非负数","字段齐备"))))))</x:f>
      </x:c>
    </x:row>
    <x:row r="5" ht="32" customHeight="1">
      <x:c r="A5" s="8"/>
      <x:c r="B5" s="8"/>
      <x:c r="C5" s="8"/>
      <x:c r="D5" s="8"/>
      <x:c r="E5" s="8"/>
      <x:c r="F5" s="11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10" t="str">
        <x:f>IF(COUNTA(A5:P5)=0,"",IF(OR(A5="",B5="",C5="",D5="",E5="",G5="",H5="",I5="",J5="",K5="",L5="",M5="",N5=""),"缺必填",IF(COUNTIF($A$2:$A$201,A5)&gt;1,"ID重复",IF(COUNTIF('任务登记'!$A$2:$A$201,B5)&lt;&gt;1,"任务ID无效",IF(AND(ISBLANK(F5),P5=""),"缺金额说明",IF(AND(NOT(ISBLANK(F5)),OR(NOT(ISNUMBER(F5)),F5&lt;0)),"金额须为非负数","字段齐备"))))))</x:f>
      </x:c>
    </x:row>
    <x:row r="6" ht="32" customHeight="1">
      <x:c r="A6" s="8"/>
      <x:c r="B6" s="8"/>
      <x:c r="C6" s="8"/>
      <x:c r="D6" s="8"/>
      <x:c r="E6" s="8"/>
      <x:c r="F6" s="11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10" t="str">
        <x:f>IF(COUNTA(A6:P6)=0,"",IF(OR(A6="",B6="",C6="",D6="",E6="",G6="",H6="",I6="",J6="",K6="",L6="",M6="",N6=""),"缺必填",IF(COUNTIF($A$2:$A$201,A6)&gt;1,"ID重复",IF(COUNTIF('任务登记'!$A$2:$A$201,B6)&lt;&gt;1,"任务ID无效",IF(AND(ISBLANK(F6),P6=""),"缺金额说明",IF(AND(NOT(ISBLANK(F6)),OR(NOT(ISNUMBER(F6)),F6&lt;0)),"金额须为非负数","字段齐备"))))))</x:f>
      </x:c>
    </x:row>
    <x:row r="7" ht="32" customHeight="1">
      <x:c r="A7" s="8"/>
      <x:c r="B7" s="8"/>
      <x:c r="C7" s="8"/>
      <x:c r="D7" s="8"/>
      <x:c r="E7" s="8"/>
      <x:c r="F7" s="11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10" t="str">
        <x:f>IF(COUNTA(A7:P7)=0,"",IF(OR(A7="",B7="",C7="",D7="",E7="",G7="",H7="",I7="",J7="",K7="",L7="",M7="",N7=""),"缺必填",IF(COUNTIF($A$2:$A$201,A7)&gt;1,"ID重复",IF(COUNTIF('任务登记'!$A$2:$A$201,B7)&lt;&gt;1,"任务ID无效",IF(AND(ISBLANK(F7),P7=""),"缺金额说明",IF(AND(NOT(ISBLANK(F7)),OR(NOT(ISNUMBER(F7)),F7&lt;0)),"金额须为非负数","字段齐备"))))))</x:f>
      </x:c>
    </x:row>
    <x:row r="8" ht="32" customHeight="1">
      <x:c r="A8" s="8"/>
      <x:c r="B8" s="8"/>
      <x:c r="C8" s="8"/>
      <x:c r="D8" s="8"/>
      <x:c r="E8" s="8"/>
      <x:c r="F8" s="11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10" t="str">
        <x:f>IF(COUNTA(A8:P8)=0,"",IF(OR(A8="",B8="",C8="",D8="",E8="",G8="",H8="",I8="",J8="",K8="",L8="",M8="",N8=""),"缺必填",IF(COUNTIF($A$2:$A$201,A8)&gt;1,"ID重复",IF(COUNTIF('任务登记'!$A$2:$A$201,B8)&lt;&gt;1,"任务ID无效",IF(AND(ISBLANK(F8),P8=""),"缺金额说明",IF(AND(NOT(ISBLANK(F8)),OR(NOT(ISNUMBER(F8)),F8&lt;0)),"金额须为非负数","字段齐备"))))))</x:f>
      </x:c>
    </x:row>
    <x:row r="9" ht="32" customHeight="1">
      <x:c r="A9" s="8"/>
      <x:c r="B9" s="8"/>
      <x:c r="C9" s="8"/>
      <x:c r="D9" s="8"/>
      <x:c r="E9" s="8"/>
      <x:c r="F9" s="11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10" t="str">
        <x:f>IF(COUNTA(A9:P9)=0,"",IF(OR(A9="",B9="",C9="",D9="",E9="",G9="",H9="",I9="",J9="",K9="",L9="",M9="",N9=""),"缺必填",IF(COUNTIF($A$2:$A$201,A9)&gt;1,"ID重复",IF(COUNTIF('任务登记'!$A$2:$A$201,B9)&lt;&gt;1,"任务ID无效",IF(AND(ISBLANK(F9),P9=""),"缺金额说明",IF(AND(NOT(ISBLANK(F9)),OR(NOT(ISNUMBER(F9)),F9&lt;0)),"金额须为非负数","字段齐备"))))))</x:f>
      </x:c>
    </x:row>
    <x:row r="10" ht="32" customHeight="1">
      <x:c r="A10" s="8"/>
      <x:c r="B10" s="8"/>
      <x:c r="C10" s="8"/>
      <x:c r="D10" s="8"/>
      <x:c r="E10" s="8"/>
      <x:c r="F10" s="11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10" t="str">
        <x:f>IF(COUNTA(A10:P10)=0,"",IF(OR(A10="",B10="",C10="",D10="",E10="",G10="",H10="",I10="",J10="",K10="",L10="",M10="",N10=""),"缺必填",IF(COUNTIF($A$2:$A$201,A10)&gt;1,"ID重复",IF(COUNTIF('任务登记'!$A$2:$A$201,B10)&lt;&gt;1,"任务ID无效",IF(AND(ISBLANK(F10),P10=""),"缺金额说明",IF(AND(NOT(ISBLANK(F10)),OR(NOT(ISNUMBER(F10)),F10&lt;0)),"金额须为非负数","字段齐备"))))))</x:f>
      </x:c>
    </x:row>
    <x:row r="11" ht="32" customHeight="1">
      <x:c r="A11" s="8"/>
      <x:c r="B11" s="8"/>
      <x:c r="C11" s="8"/>
      <x:c r="D11" s="8"/>
      <x:c r="E11" s="8"/>
      <x:c r="F11" s="11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10" t="str">
        <x:f>IF(COUNTA(A11:P11)=0,"",IF(OR(A11="",B11="",C11="",D11="",E11="",G11="",H11="",I11="",J11="",K11="",L11="",M11="",N11=""),"缺必填",IF(COUNTIF($A$2:$A$201,A11)&gt;1,"ID重复",IF(COUNTIF('任务登记'!$A$2:$A$201,B11)&lt;&gt;1,"任务ID无效",IF(AND(ISBLANK(F11),P11=""),"缺金额说明",IF(AND(NOT(ISBLANK(F11)),OR(NOT(ISNUMBER(F11)),F11&lt;0)),"金额须为非负数","字段齐备"))))))</x:f>
      </x:c>
    </x:row>
    <x:row r="12" ht="32" customHeight="1">
      <x:c r="A12" s="8"/>
      <x:c r="B12" s="8"/>
      <x:c r="C12" s="8"/>
      <x:c r="D12" s="8"/>
      <x:c r="E12" s="8"/>
      <x:c r="F12" s="11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10" t="str">
        <x:f>IF(COUNTA(A12:P12)=0,"",IF(OR(A12="",B12="",C12="",D12="",E12="",G12="",H12="",I12="",J12="",K12="",L12="",M12="",N12=""),"缺必填",IF(COUNTIF($A$2:$A$201,A12)&gt;1,"ID重复",IF(COUNTIF('任务登记'!$A$2:$A$201,B12)&lt;&gt;1,"任务ID无效",IF(AND(ISBLANK(F12),P12=""),"缺金额说明",IF(AND(NOT(ISBLANK(F12)),OR(NOT(ISNUMBER(F12)),F12&lt;0)),"金额须为非负数","字段齐备"))))))</x:f>
      </x:c>
    </x:row>
    <x:row r="13" ht="32" customHeight="1">
      <x:c r="A13" s="8"/>
      <x:c r="B13" s="8"/>
      <x:c r="C13" s="8"/>
      <x:c r="D13" s="8"/>
      <x:c r="E13" s="8"/>
      <x:c r="F13" s="11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10" t="str">
        <x:f>IF(COUNTA(A13:P13)=0,"",IF(OR(A13="",B13="",C13="",D13="",E13="",G13="",H13="",I13="",J13="",K13="",L13="",M13="",N13=""),"缺必填",IF(COUNTIF($A$2:$A$201,A13)&gt;1,"ID重复",IF(COUNTIF('任务登记'!$A$2:$A$201,B13)&lt;&gt;1,"任务ID无效",IF(AND(ISBLANK(F13),P13=""),"缺金额说明",IF(AND(NOT(ISBLANK(F13)),OR(NOT(ISNUMBER(F13)),F13&lt;0)),"金额须为非负数","字段齐备"))))))</x:f>
      </x:c>
    </x:row>
    <x:row r="14" ht="32" customHeight="1">
      <x:c r="A14" s="8"/>
      <x:c r="B14" s="8"/>
      <x:c r="C14" s="8"/>
      <x:c r="D14" s="8"/>
      <x:c r="E14" s="8"/>
      <x:c r="F14" s="11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10" t="str">
        <x:f>IF(COUNTA(A14:P14)=0,"",IF(OR(A14="",B14="",C14="",D14="",E14="",G14="",H14="",I14="",J14="",K14="",L14="",M14="",N14=""),"缺必填",IF(COUNTIF($A$2:$A$201,A14)&gt;1,"ID重复",IF(COUNTIF('任务登记'!$A$2:$A$201,B14)&lt;&gt;1,"任务ID无效",IF(AND(ISBLANK(F14),P14=""),"缺金额说明",IF(AND(NOT(ISBLANK(F14)),OR(NOT(ISNUMBER(F14)),F14&lt;0)),"金额须为非负数","字段齐备"))))))</x:f>
      </x:c>
    </x:row>
    <x:row r="15" ht="32" customHeight="1">
      <x:c r="A15" s="8"/>
      <x:c r="B15" s="8"/>
      <x:c r="C15" s="8"/>
      <x:c r="D15" s="8"/>
      <x:c r="E15" s="8"/>
      <x:c r="F15" s="11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10" t="str">
        <x:f>IF(COUNTA(A15:P15)=0,"",IF(OR(A15="",B15="",C15="",D15="",E15="",G15="",H15="",I15="",J15="",K15="",L15="",M15="",N15=""),"缺必填",IF(COUNTIF($A$2:$A$201,A15)&gt;1,"ID重复",IF(COUNTIF('任务登记'!$A$2:$A$201,B15)&lt;&gt;1,"任务ID无效",IF(AND(ISBLANK(F15),P15=""),"缺金额说明",IF(AND(NOT(ISBLANK(F15)),OR(NOT(ISNUMBER(F15)),F15&lt;0)),"金额须为非负数","字段齐备"))))))</x:f>
      </x:c>
    </x:row>
    <x:row r="16" ht="32" customHeight="1">
      <x:c r="A16" s="8"/>
      <x:c r="B16" s="8"/>
      <x:c r="C16" s="8"/>
      <x:c r="D16" s="8"/>
      <x:c r="E16" s="8"/>
      <x:c r="F16" s="11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10" t="str">
        <x:f>IF(COUNTA(A16:P16)=0,"",IF(OR(A16="",B16="",C16="",D16="",E16="",G16="",H16="",I16="",J16="",K16="",L16="",M16="",N16=""),"缺必填",IF(COUNTIF($A$2:$A$201,A16)&gt;1,"ID重复",IF(COUNTIF('任务登记'!$A$2:$A$201,B16)&lt;&gt;1,"任务ID无效",IF(AND(ISBLANK(F16),P16=""),"缺金额说明",IF(AND(NOT(ISBLANK(F16)),OR(NOT(ISNUMBER(F16)),F16&lt;0)),"金额须为非负数","字段齐备"))))))</x:f>
      </x:c>
    </x:row>
    <x:row r="17" ht="32" customHeight="1">
      <x:c r="A17" s="8"/>
      <x:c r="B17" s="8"/>
      <x:c r="C17" s="8"/>
      <x:c r="D17" s="8"/>
      <x:c r="E17" s="8"/>
      <x:c r="F17" s="11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10" t="str">
        <x:f>IF(COUNTA(A17:P17)=0,"",IF(OR(A17="",B17="",C17="",D17="",E17="",G17="",H17="",I17="",J17="",K17="",L17="",M17="",N17=""),"缺必填",IF(COUNTIF($A$2:$A$201,A17)&gt;1,"ID重复",IF(COUNTIF('任务登记'!$A$2:$A$201,B17)&lt;&gt;1,"任务ID无效",IF(AND(ISBLANK(F17),P17=""),"缺金额说明",IF(AND(NOT(ISBLANK(F17)),OR(NOT(ISNUMBER(F17)),F17&lt;0)),"金额须为非负数","字段齐备"))))))</x:f>
      </x:c>
    </x:row>
    <x:row r="18" ht="32" customHeight="1">
      <x:c r="A18" s="8"/>
      <x:c r="B18" s="8"/>
      <x:c r="C18" s="8"/>
      <x:c r="D18" s="8"/>
      <x:c r="E18" s="8"/>
      <x:c r="F18" s="11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10" t="str">
        <x:f>IF(COUNTA(A18:P18)=0,"",IF(OR(A18="",B18="",C18="",D18="",E18="",G18="",H18="",I18="",J18="",K18="",L18="",M18="",N18=""),"缺必填",IF(COUNTIF($A$2:$A$201,A18)&gt;1,"ID重复",IF(COUNTIF('任务登记'!$A$2:$A$201,B18)&lt;&gt;1,"任务ID无效",IF(AND(ISBLANK(F18),P18=""),"缺金额说明",IF(AND(NOT(ISBLANK(F18)),OR(NOT(ISNUMBER(F18)),F18&lt;0)),"金额须为非负数","字段齐备"))))))</x:f>
      </x:c>
    </x:row>
    <x:row r="19" ht="32" customHeight="1">
      <x:c r="A19" s="8"/>
      <x:c r="B19" s="8"/>
      <x:c r="C19" s="8"/>
      <x:c r="D19" s="8"/>
      <x:c r="E19" s="8"/>
      <x:c r="F19" s="11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10" t="str">
        <x:f>IF(COUNTA(A19:P19)=0,"",IF(OR(A19="",B19="",C19="",D19="",E19="",G19="",H19="",I19="",J19="",K19="",L19="",M19="",N19=""),"缺必填",IF(COUNTIF($A$2:$A$201,A19)&gt;1,"ID重复",IF(COUNTIF('任务登记'!$A$2:$A$201,B19)&lt;&gt;1,"任务ID无效",IF(AND(ISBLANK(F19),P19=""),"缺金额说明",IF(AND(NOT(ISBLANK(F19)),OR(NOT(ISNUMBER(F19)),F19&lt;0)),"金额须为非负数","字段齐备"))))))</x:f>
      </x:c>
    </x:row>
    <x:row r="20" ht="32" customHeight="1">
      <x:c r="A20" s="8"/>
      <x:c r="B20" s="8"/>
      <x:c r="C20" s="8"/>
      <x:c r="D20" s="8"/>
      <x:c r="E20" s="8"/>
      <x:c r="F20" s="11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10" t="str">
        <x:f>IF(COUNTA(A20:P20)=0,"",IF(OR(A20="",B20="",C20="",D20="",E20="",G20="",H20="",I20="",J20="",K20="",L20="",M20="",N20=""),"缺必填",IF(COUNTIF($A$2:$A$201,A20)&gt;1,"ID重复",IF(COUNTIF('任务登记'!$A$2:$A$201,B20)&lt;&gt;1,"任务ID无效",IF(AND(ISBLANK(F20),P20=""),"缺金额说明",IF(AND(NOT(ISBLANK(F20)),OR(NOT(ISNUMBER(F20)),F20&lt;0)),"金额须为非负数","字段齐备"))))))</x:f>
      </x:c>
    </x:row>
    <x:row r="21" ht="32" customHeight="1">
      <x:c r="A21" s="8"/>
      <x:c r="B21" s="8"/>
      <x:c r="C21" s="8"/>
      <x:c r="D21" s="8"/>
      <x:c r="E21" s="8"/>
      <x:c r="F21" s="11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10" t="str">
        <x:f>IF(COUNTA(A21:P21)=0,"",IF(OR(A21="",B21="",C21="",D21="",E21="",G21="",H21="",I21="",J21="",K21="",L21="",M21="",N21=""),"缺必填",IF(COUNTIF($A$2:$A$201,A21)&gt;1,"ID重复",IF(COUNTIF('任务登记'!$A$2:$A$201,B21)&lt;&gt;1,"任务ID无效",IF(AND(ISBLANK(F21),P21=""),"缺金额说明",IF(AND(NOT(ISBLANK(F21)),OR(NOT(ISNUMBER(F21)),F21&lt;0)),"金额须为非负数","字段齐备"))))))</x:f>
      </x:c>
    </x:row>
    <x:row r="22" ht="32" customHeight="1">
      <x:c r="A22" s="8"/>
      <x:c r="B22" s="8"/>
      <x:c r="C22" s="8"/>
      <x:c r="D22" s="8"/>
      <x:c r="E22" s="8"/>
      <x:c r="F22" s="11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10" t="str">
        <x:f>IF(COUNTA(A22:P22)=0,"",IF(OR(A22="",B22="",C22="",D22="",E22="",G22="",H22="",I22="",J22="",K22="",L22="",M22="",N22=""),"缺必填",IF(COUNTIF($A$2:$A$201,A22)&gt;1,"ID重复",IF(COUNTIF('任务登记'!$A$2:$A$201,B22)&lt;&gt;1,"任务ID无效",IF(AND(ISBLANK(F22),P22=""),"缺金额说明",IF(AND(NOT(ISBLANK(F22)),OR(NOT(ISNUMBER(F22)),F22&lt;0)),"金额须为非负数","字段齐备"))))))</x:f>
      </x:c>
    </x:row>
    <x:row r="23" ht="32" customHeight="1">
      <x:c r="A23" s="8"/>
      <x:c r="B23" s="8"/>
      <x:c r="C23" s="8"/>
      <x:c r="D23" s="8"/>
      <x:c r="E23" s="8"/>
      <x:c r="F23" s="11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10" t="str">
        <x:f>IF(COUNTA(A23:P23)=0,"",IF(OR(A23="",B23="",C23="",D23="",E23="",G23="",H23="",I23="",J23="",K23="",L23="",M23="",N23=""),"缺必填",IF(COUNTIF($A$2:$A$201,A23)&gt;1,"ID重复",IF(COUNTIF('任务登记'!$A$2:$A$201,B23)&lt;&gt;1,"任务ID无效",IF(AND(ISBLANK(F23),P23=""),"缺金额说明",IF(AND(NOT(ISBLANK(F23)),OR(NOT(ISNUMBER(F23)),F23&lt;0)),"金额须为非负数","字段齐备"))))))</x:f>
      </x:c>
    </x:row>
    <x:row r="24" ht="32" customHeight="1">
      <x:c r="A24" s="8"/>
      <x:c r="B24" s="8"/>
      <x:c r="C24" s="8"/>
      <x:c r="D24" s="8"/>
      <x:c r="E24" s="8"/>
      <x:c r="F24" s="11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10" t="str">
        <x:f>IF(COUNTA(A24:P24)=0,"",IF(OR(A24="",B24="",C24="",D24="",E24="",G24="",H24="",I24="",J24="",K24="",L24="",M24="",N24=""),"缺必填",IF(COUNTIF($A$2:$A$201,A24)&gt;1,"ID重复",IF(COUNTIF('任务登记'!$A$2:$A$201,B24)&lt;&gt;1,"任务ID无效",IF(AND(ISBLANK(F24),P24=""),"缺金额说明",IF(AND(NOT(ISBLANK(F24)),OR(NOT(ISNUMBER(F24)),F24&lt;0)),"金额须为非负数","字段齐备"))))))</x:f>
      </x:c>
    </x:row>
    <x:row r="25" ht="32" customHeight="1">
      <x:c r="A25" s="8"/>
      <x:c r="B25" s="8"/>
      <x:c r="C25" s="8"/>
      <x:c r="D25" s="8"/>
      <x:c r="E25" s="8"/>
      <x:c r="F25" s="11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10" t="str">
        <x:f>IF(COUNTA(A25:P25)=0,"",IF(OR(A25="",B25="",C25="",D25="",E25="",G25="",H25="",I25="",J25="",K25="",L25="",M25="",N25=""),"缺必填",IF(COUNTIF($A$2:$A$201,A25)&gt;1,"ID重复",IF(COUNTIF('任务登记'!$A$2:$A$201,B25)&lt;&gt;1,"任务ID无效",IF(AND(ISBLANK(F25),P25=""),"缺金额说明",IF(AND(NOT(ISBLANK(F25)),OR(NOT(ISNUMBER(F25)),F25&lt;0)),"金额须为非负数","字段齐备"))))))</x:f>
      </x:c>
    </x:row>
    <x:row r="26" ht="32" customHeight="1">
      <x:c r="A26" s="8"/>
      <x:c r="B26" s="8"/>
      <x:c r="C26" s="8"/>
      <x:c r="D26" s="8"/>
      <x:c r="E26" s="8"/>
      <x:c r="F26" s="11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10" t="str">
        <x:f>IF(COUNTA(A26:P26)=0,"",IF(OR(A26="",B26="",C26="",D26="",E26="",G26="",H26="",I26="",J26="",K26="",L26="",M26="",N26=""),"缺必填",IF(COUNTIF($A$2:$A$201,A26)&gt;1,"ID重复",IF(COUNTIF('任务登记'!$A$2:$A$201,B26)&lt;&gt;1,"任务ID无效",IF(AND(ISBLANK(F26),P26=""),"缺金额说明",IF(AND(NOT(ISBLANK(F26)),OR(NOT(ISNUMBER(F26)),F26&lt;0)),"金额须为非负数","字段齐备"))))))</x:f>
      </x:c>
    </x:row>
    <x:row r="27" ht="32" customHeight="1">
      <x:c r="A27" s="8"/>
      <x:c r="B27" s="8"/>
      <x:c r="C27" s="8"/>
      <x:c r="D27" s="8"/>
      <x:c r="E27" s="8"/>
      <x:c r="F27" s="11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10" t="str">
        <x:f>IF(COUNTA(A27:P27)=0,"",IF(OR(A27="",B27="",C27="",D27="",E27="",G27="",H27="",I27="",J27="",K27="",L27="",M27="",N27=""),"缺必填",IF(COUNTIF($A$2:$A$201,A27)&gt;1,"ID重复",IF(COUNTIF('任务登记'!$A$2:$A$201,B27)&lt;&gt;1,"任务ID无效",IF(AND(ISBLANK(F27),P27=""),"缺金额说明",IF(AND(NOT(ISBLANK(F27)),OR(NOT(ISNUMBER(F27)),F27&lt;0)),"金额须为非负数","字段齐备"))))))</x:f>
      </x:c>
    </x:row>
    <x:row r="28" ht="32" customHeight="1">
      <x:c r="A28" s="8"/>
      <x:c r="B28" s="8"/>
      <x:c r="C28" s="8"/>
      <x:c r="D28" s="8"/>
      <x:c r="E28" s="8"/>
      <x:c r="F28" s="11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10" t="str">
        <x:f>IF(COUNTA(A28:P28)=0,"",IF(OR(A28="",B28="",C28="",D28="",E28="",G28="",H28="",I28="",J28="",K28="",L28="",M28="",N28=""),"缺必填",IF(COUNTIF($A$2:$A$201,A28)&gt;1,"ID重复",IF(COUNTIF('任务登记'!$A$2:$A$201,B28)&lt;&gt;1,"任务ID无效",IF(AND(ISBLANK(F28),P28=""),"缺金额说明",IF(AND(NOT(ISBLANK(F28)),OR(NOT(ISNUMBER(F28)),F28&lt;0)),"金额须为非负数","字段齐备"))))))</x:f>
      </x:c>
    </x:row>
    <x:row r="29" ht="32" customHeight="1">
      <x:c r="A29" s="8"/>
      <x:c r="B29" s="8"/>
      <x:c r="C29" s="8"/>
      <x:c r="D29" s="8"/>
      <x:c r="E29" s="8"/>
      <x:c r="F29" s="11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10" t="str">
        <x:f>IF(COUNTA(A29:P29)=0,"",IF(OR(A29="",B29="",C29="",D29="",E29="",G29="",H29="",I29="",J29="",K29="",L29="",M29="",N29=""),"缺必填",IF(COUNTIF($A$2:$A$201,A29)&gt;1,"ID重复",IF(COUNTIF('任务登记'!$A$2:$A$201,B29)&lt;&gt;1,"任务ID无效",IF(AND(ISBLANK(F29),P29=""),"缺金额说明",IF(AND(NOT(ISBLANK(F29)),OR(NOT(ISNUMBER(F29)),F29&lt;0)),"金额须为非负数","字段齐备"))))))</x:f>
      </x:c>
    </x:row>
    <x:row r="30" ht="32" customHeight="1">
      <x:c r="A30" s="8"/>
      <x:c r="B30" s="8"/>
      <x:c r="C30" s="8"/>
      <x:c r="D30" s="8"/>
      <x:c r="E30" s="8"/>
      <x:c r="F30" s="11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10" t="str">
        <x:f>IF(COUNTA(A30:P30)=0,"",IF(OR(A30="",B30="",C30="",D30="",E30="",G30="",H30="",I30="",J30="",K30="",L30="",M30="",N30=""),"缺必填",IF(COUNTIF($A$2:$A$201,A30)&gt;1,"ID重复",IF(COUNTIF('任务登记'!$A$2:$A$201,B30)&lt;&gt;1,"任务ID无效",IF(AND(ISBLANK(F30),P30=""),"缺金额说明",IF(AND(NOT(ISBLANK(F30)),OR(NOT(ISNUMBER(F30)),F30&lt;0)),"金额须为非负数","字段齐备"))))))</x:f>
      </x:c>
    </x:row>
    <x:row r="31" ht="32" customHeight="1">
      <x:c r="A31" s="8"/>
      <x:c r="B31" s="8"/>
      <x:c r="C31" s="8"/>
      <x:c r="D31" s="8"/>
      <x:c r="E31" s="8"/>
      <x:c r="F31" s="1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10" t="str">
        <x:f>IF(COUNTA(A31:P31)=0,"",IF(OR(A31="",B31="",C31="",D31="",E31="",G31="",H31="",I31="",J31="",K31="",L31="",M31="",N31=""),"缺必填",IF(COUNTIF($A$2:$A$201,A31)&gt;1,"ID重复",IF(COUNTIF('任务登记'!$A$2:$A$201,B31)&lt;&gt;1,"任务ID无效",IF(AND(ISBLANK(F31),P31=""),"缺金额说明",IF(AND(NOT(ISBLANK(F31)),OR(NOT(ISNUMBER(F31)),F31&lt;0)),"金额须为非负数","字段齐备"))))))</x:f>
      </x:c>
    </x:row>
    <x:row r="32" ht="32" customHeight="1">
      <x:c r="A32" s="8"/>
      <x:c r="B32" s="8"/>
      <x:c r="C32" s="8"/>
      <x:c r="D32" s="8"/>
      <x:c r="E32" s="8"/>
      <x:c r="F32" s="11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10" t="str">
        <x:f>IF(COUNTA(A32:P32)=0,"",IF(OR(A32="",B32="",C32="",D32="",E32="",G32="",H32="",I32="",J32="",K32="",L32="",M32="",N32=""),"缺必填",IF(COUNTIF($A$2:$A$201,A32)&gt;1,"ID重复",IF(COUNTIF('任务登记'!$A$2:$A$201,B32)&lt;&gt;1,"任务ID无效",IF(AND(ISBLANK(F32),P32=""),"缺金额说明",IF(AND(NOT(ISBLANK(F32)),OR(NOT(ISNUMBER(F32)),F32&lt;0)),"金额须为非负数","字段齐备"))))))</x:f>
      </x:c>
    </x:row>
    <x:row r="33" ht="32" customHeight="1">
      <x:c r="A33" s="8"/>
      <x:c r="B33" s="8"/>
      <x:c r="C33" s="8"/>
      <x:c r="D33" s="8"/>
      <x:c r="E33" s="8"/>
      <x:c r="F33" s="11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10" t="str">
        <x:f>IF(COUNTA(A33:P33)=0,"",IF(OR(A33="",B33="",C33="",D33="",E33="",G33="",H33="",I33="",J33="",K33="",L33="",M33="",N33=""),"缺必填",IF(COUNTIF($A$2:$A$201,A33)&gt;1,"ID重复",IF(COUNTIF('任务登记'!$A$2:$A$201,B33)&lt;&gt;1,"任务ID无效",IF(AND(ISBLANK(F33),P33=""),"缺金额说明",IF(AND(NOT(ISBLANK(F33)),OR(NOT(ISNUMBER(F33)),F33&lt;0)),"金额须为非负数","字段齐备"))))))</x:f>
      </x:c>
    </x:row>
    <x:row r="34" ht="32" customHeight="1">
      <x:c r="A34" s="8"/>
      <x:c r="B34" s="8"/>
      <x:c r="C34" s="8"/>
      <x:c r="D34" s="8"/>
      <x:c r="E34" s="8"/>
      <x:c r="F34" s="11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10" t="str">
        <x:f>IF(COUNTA(A34:P34)=0,"",IF(OR(A34="",B34="",C34="",D34="",E34="",G34="",H34="",I34="",J34="",K34="",L34="",M34="",N34=""),"缺必填",IF(COUNTIF($A$2:$A$201,A34)&gt;1,"ID重复",IF(COUNTIF('任务登记'!$A$2:$A$201,B34)&lt;&gt;1,"任务ID无效",IF(AND(ISBLANK(F34),P34=""),"缺金额说明",IF(AND(NOT(ISBLANK(F34)),OR(NOT(ISNUMBER(F34)),F34&lt;0)),"金额须为非负数","字段齐备"))))))</x:f>
      </x:c>
    </x:row>
    <x:row r="35" ht="32" customHeight="1">
      <x:c r="A35" s="8"/>
      <x:c r="B35" s="8"/>
      <x:c r="C35" s="8"/>
      <x:c r="D35" s="8"/>
      <x:c r="E35" s="8"/>
      <x:c r="F35" s="11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10" t="str">
        <x:f>IF(COUNTA(A35:P35)=0,"",IF(OR(A35="",B35="",C35="",D35="",E35="",G35="",H35="",I35="",J35="",K35="",L35="",M35="",N35=""),"缺必填",IF(COUNTIF($A$2:$A$201,A35)&gt;1,"ID重复",IF(COUNTIF('任务登记'!$A$2:$A$201,B35)&lt;&gt;1,"任务ID无效",IF(AND(ISBLANK(F35),P35=""),"缺金额说明",IF(AND(NOT(ISBLANK(F35)),OR(NOT(ISNUMBER(F35)),F35&lt;0)),"金额须为非负数","字段齐备"))))))</x:f>
      </x:c>
    </x:row>
    <x:row r="36" ht="32" customHeight="1">
      <x:c r="A36" s="8"/>
      <x:c r="B36" s="8"/>
      <x:c r="C36" s="8"/>
      <x:c r="D36" s="8"/>
      <x:c r="E36" s="8"/>
      <x:c r="F36" s="11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10" t="str">
        <x:f>IF(COUNTA(A36:P36)=0,"",IF(OR(A36="",B36="",C36="",D36="",E36="",G36="",H36="",I36="",J36="",K36="",L36="",M36="",N36=""),"缺必填",IF(COUNTIF($A$2:$A$201,A36)&gt;1,"ID重复",IF(COUNTIF('任务登记'!$A$2:$A$201,B36)&lt;&gt;1,"任务ID无效",IF(AND(ISBLANK(F36),P36=""),"缺金额说明",IF(AND(NOT(ISBLANK(F36)),OR(NOT(ISNUMBER(F36)),F36&lt;0)),"金额须为非负数","字段齐备"))))))</x:f>
      </x:c>
    </x:row>
    <x:row r="37" ht="32" customHeight="1">
      <x:c r="A37" s="8"/>
      <x:c r="B37" s="8"/>
      <x:c r="C37" s="8"/>
      <x:c r="D37" s="8"/>
      <x:c r="E37" s="8"/>
      <x:c r="F37" s="11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10" t="str">
        <x:f>IF(COUNTA(A37:P37)=0,"",IF(OR(A37="",B37="",C37="",D37="",E37="",G37="",H37="",I37="",J37="",K37="",L37="",M37="",N37=""),"缺必填",IF(COUNTIF($A$2:$A$201,A37)&gt;1,"ID重复",IF(COUNTIF('任务登记'!$A$2:$A$201,B37)&lt;&gt;1,"任务ID无效",IF(AND(ISBLANK(F37),P37=""),"缺金额说明",IF(AND(NOT(ISBLANK(F37)),OR(NOT(ISNUMBER(F37)),F37&lt;0)),"金额须为非负数","字段齐备"))))))</x:f>
      </x:c>
    </x:row>
    <x:row r="38" ht="32" customHeight="1">
      <x:c r="A38" s="8"/>
      <x:c r="B38" s="8"/>
      <x:c r="C38" s="8"/>
      <x:c r="D38" s="8"/>
      <x:c r="E38" s="8"/>
      <x:c r="F38" s="11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10" t="str">
        <x:f>IF(COUNTA(A38:P38)=0,"",IF(OR(A38="",B38="",C38="",D38="",E38="",G38="",H38="",I38="",J38="",K38="",L38="",M38="",N38=""),"缺必填",IF(COUNTIF($A$2:$A$201,A38)&gt;1,"ID重复",IF(COUNTIF('任务登记'!$A$2:$A$201,B38)&lt;&gt;1,"任务ID无效",IF(AND(ISBLANK(F38),P38=""),"缺金额说明",IF(AND(NOT(ISBLANK(F38)),OR(NOT(ISNUMBER(F38)),F38&lt;0)),"金额须为非负数","字段齐备"))))))</x:f>
      </x:c>
    </x:row>
    <x:row r="39" ht="32" customHeight="1">
      <x:c r="A39" s="8"/>
      <x:c r="B39" s="8"/>
      <x:c r="C39" s="8"/>
      <x:c r="D39" s="8"/>
      <x:c r="E39" s="8"/>
      <x:c r="F39" s="11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10" t="str">
        <x:f>IF(COUNTA(A39:P39)=0,"",IF(OR(A39="",B39="",C39="",D39="",E39="",G39="",H39="",I39="",J39="",K39="",L39="",M39="",N39=""),"缺必填",IF(COUNTIF($A$2:$A$201,A39)&gt;1,"ID重复",IF(COUNTIF('任务登记'!$A$2:$A$201,B39)&lt;&gt;1,"任务ID无效",IF(AND(ISBLANK(F39),P39=""),"缺金额说明",IF(AND(NOT(ISBLANK(F39)),OR(NOT(ISNUMBER(F39)),F39&lt;0)),"金额须为非负数","字段齐备"))))))</x:f>
      </x:c>
    </x:row>
    <x:row r="40" ht="32" customHeight="1">
      <x:c r="A40" s="8"/>
      <x:c r="B40" s="8"/>
      <x:c r="C40" s="8"/>
      <x:c r="D40" s="8"/>
      <x:c r="E40" s="8"/>
      <x:c r="F40" s="11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10" t="str">
        <x:f>IF(COUNTA(A40:P40)=0,"",IF(OR(A40="",B40="",C40="",D40="",E40="",G40="",H40="",I40="",J40="",K40="",L40="",M40="",N40=""),"缺必填",IF(COUNTIF($A$2:$A$201,A40)&gt;1,"ID重复",IF(COUNTIF('任务登记'!$A$2:$A$201,B40)&lt;&gt;1,"任务ID无效",IF(AND(ISBLANK(F40),P40=""),"缺金额说明",IF(AND(NOT(ISBLANK(F40)),OR(NOT(ISNUMBER(F40)),F40&lt;0)),"金额须为非负数","字段齐备"))))))</x:f>
      </x:c>
    </x:row>
    <x:row r="41" ht="32" customHeight="1">
      <x:c r="A41" s="8"/>
      <x:c r="B41" s="8"/>
      <x:c r="C41" s="8"/>
      <x:c r="D41" s="8"/>
      <x:c r="E41" s="8"/>
      <x:c r="F41" s="11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10" t="str">
        <x:f>IF(COUNTA(A41:P41)=0,"",IF(OR(A41="",B41="",C41="",D41="",E41="",G41="",H41="",I41="",J41="",K41="",L41="",M41="",N41=""),"缺必填",IF(COUNTIF($A$2:$A$201,A41)&gt;1,"ID重复",IF(COUNTIF('任务登记'!$A$2:$A$201,B41)&lt;&gt;1,"任务ID无效",IF(AND(ISBLANK(F41),P41=""),"缺金额说明",IF(AND(NOT(ISBLANK(F41)),OR(NOT(ISNUMBER(F41)),F41&lt;0)),"金额须为非负数","字段齐备"))))))</x:f>
      </x:c>
    </x:row>
    <x:row r="42" ht="32" customHeight="1">
      <x:c r="A42" s="8"/>
      <x:c r="B42" s="8"/>
      <x:c r="C42" s="8"/>
      <x:c r="D42" s="8"/>
      <x:c r="E42" s="8"/>
      <x:c r="F42" s="11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10" t="str">
        <x:f>IF(COUNTA(A42:P42)=0,"",IF(OR(A42="",B42="",C42="",D42="",E42="",G42="",H42="",I42="",J42="",K42="",L42="",M42="",N42=""),"缺必填",IF(COUNTIF($A$2:$A$201,A42)&gt;1,"ID重复",IF(COUNTIF('任务登记'!$A$2:$A$201,B42)&lt;&gt;1,"任务ID无效",IF(AND(ISBLANK(F42),P42=""),"缺金额说明",IF(AND(NOT(ISBLANK(F42)),OR(NOT(ISNUMBER(F42)),F42&lt;0)),"金额须为非负数","字段齐备"))))))</x:f>
      </x:c>
    </x:row>
    <x:row r="43" ht="32" customHeight="1">
      <x:c r="A43" s="8"/>
      <x:c r="B43" s="8"/>
      <x:c r="C43" s="8"/>
      <x:c r="D43" s="8"/>
      <x:c r="E43" s="8"/>
      <x:c r="F43" s="11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10" t="str">
        <x:f>IF(COUNTA(A43:P43)=0,"",IF(OR(A43="",B43="",C43="",D43="",E43="",G43="",H43="",I43="",J43="",K43="",L43="",M43="",N43=""),"缺必填",IF(COUNTIF($A$2:$A$201,A43)&gt;1,"ID重复",IF(COUNTIF('任务登记'!$A$2:$A$201,B43)&lt;&gt;1,"任务ID无效",IF(AND(ISBLANK(F43),P43=""),"缺金额说明",IF(AND(NOT(ISBLANK(F43)),OR(NOT(ISNUMBER(F43)),F43&lt;0)),"金额须为非负数","字段齐备"))))))</x:f>
      </x:c>
    </x:row>
    <x:row r="44" ht="32" customHeight="1">
      <x:c r="A44" s="8"/>
      <x:c r="B44" s="8"/>
      <x:c r="C44" s="8"/>
      <x:c r="D44" s="8"/>
      <x:c r="E44" s="8"/>
      <x:c r="F44" s="11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10" t="str">
        <x:f>IF(COUNTA(A44:P44)=0,"",IF(OR(A44="",B44="",C44="",D44="",E44="",G44="",H44="",I44="",J44="",K44="",L44="",M44="",N44=""),"缺必填",IF(COUNTIF($A$2:$A$201,A44)&gt;1,"ID重复",IF(COUNTIF('任务登记'!$A$2:$A$201,B44)&lt;&gt;1,"任务ID无效",IF(AND(ISBLANK(F44),P44=""),"缺金额说明",IF(AND(NOT(ISBLANK(F44)),OR(NOT(ISNUMBER(F44)),F44&lt;0)),"金额须为非负数","字段齐备"))))))</x:f>
      </x:c>
    </x:row>
    <x:row r="45" ht="32" customHeight="1">
      <x:c r="A45" s="8"/>
      <x:c r="B45" s="8"/>
      <x:c r="C45" s="8"/>
      <x:c r="D45" s="8"/>
      <x:c r="E45" s="8"/>
      <x:c r="F45" s="11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10" t="str">
        <x:f>IF(COUNTA(A45:P45)=0,"",IF(OR(A45="",B45="",C45="",D45="",E45="",G45="",H45="",I45="",J45="",K45="",L45="",M45="",N45=""),"缺必填",IF(COUNTIF($A$2:$A$201,A45)&gt;1,"ID重复",IF(COUNTIF('任务登记'!$A$2:$A$201,B45)&lt;&gt;1,"任务ID无效",IF(AND(ISBLANK(F45),P45=""),"缺金额说明",IF(AND(NOT(ISBLANK(F45)),OR(NOT(ISNUMBER(F45)),F45&lt;0)),"金额须为非负数","字段齐备"))))))</x:f>
      </x:c>
    </x:row>
    <x:row r="46" ht="32" customHeight="1">
      <x:c r="A46" s="8"/>
      <x:c r="B46" s="8"/>
      <x:c r="C46" s="8"/>
      <x:c r="D46" s="8"/>
      <x:c r="E46" s="8"/>
      <x:c r="F46" s="11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10" t="str">
        <x:f>IF(COUNTA(A46:P46)=0,"",IF(OR(A46="",B46="",C46="",D46="",E46="",G46="",H46="",I46="",J46="",K46="",L46="",M46="",N46=""),"缺必填",IF(COUNTIF($A$2:$A$201,A46)&gt;1,"ID重复",IF(COUNTIF('任务登记'!$A$2:$A$201,B46)&lt;&gt;1,"任务ID无效",IF(AND(ISBLANK(F46),P46=""),"缺金额说明",IF(AND(NOT(ISBLANK(F46)),OR(NOT(ISNUMBER(F46)),F46&lt;0)),"金额须为非负数","字段齐备"))))))</x:f>
      </x:c>
    </x:row>
    <x:row r="47" ht="32" customHeight="1">
      <x:c r="A47" s="8"/>
      <x:c r="B47" s="8"/>
      <x:c r="C47" s="8"/>
      <x:c r="D47" s="8"/>
      <x:c r="E47" s="8"/>
      <x:c r="F47" s="11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10" t="str">
        <x:f>IF(COUNTA(A47:P47)=0,"",IF(OR(A47="",B47="",C47="",D47="",E47="",G47="",H47="",I47="",J47="",K47="",L47="",M47="",N47=""),"缺必填",IF(COUNTIF($A$2:$A$201,A47)&gt;1,"ID重复",IF(COUNTIF('任务登记'!$A$2:$A$201,B47)&lt;&gt;1,"任务ID无效",IF(AND(ISBLANK(F47),P47=""),"缺金额说明",IF(AND(NOT(ISBLANK(F47)),OR(NOT(ISNUMBER(F47)),F47&lt;0)),"金额须为非负数","字段齐备"))))))</x:f>
      </x:c>
    </x:row>
    <x:row r="48" ht="32" customHeight="1">
      <x:c r="A48" s="8"/>
      <x:c r="B48" s="8"/>
      <x:c r="C48" s="8"/>
      <x:c r="D48" s="8"/>
      <x:c r="E48" s="8"/>
      <x:c r="F48" s="11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10" t="str">
        <x:f>IF(COUNTA(A48:P48)=0,"",IF(OR(A48="",B48="",C48="",D48="",E48="",G48="",H48="",I48="",J48="",K48="",L48="",M48="",N48=""),"缺必填",IF(COUNTIF($A$2:$A$201,A48)&gt;1,"ID重复",IF(COUNTIF('任务登记'!$A$2:$A$201,B48)&lt;&gt;1,"任务ID无效",IF(AND(ISBLANK(F48),P48=""),"缺金额说明",IF(AND(NOT(ISBLANK(F48)),OR(NOT(ISNUMBER(F48)),F48&lt;0)),"金额须为非负数","字段齐备"))))))</x:f>
      </x:c>
    </x:row>
    <x:row r="49" ht="32" customHeight="1">
      <x:c r="A49" s="8"/>
      <x:c r="B49" s="8"/>
      <x:c r="C49" s="8"/>
      <x:c r="D49" s="8"/>
      <x:c r="E49" s="8"/>
      <x:c r="F49" s="11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10" t="str">
        <x:f>IF(COUNTA(A49:P49)=0,"",IF(OR(A49="",B49="",C49="",D49="",E49="",G49="",H49="",I49="",J49="",K49="",L49="",M49="",N49=""),"缺必填",IF(COUNTIF($A$2:$A$201,A49)&gt;1,"ID重复",IF(COUNTIF('任务登记'!$A$2:$A$201,B49)&lt;&gt;1,"任务ID无效",IF(AND(ISBLANK(F49),P49=""),"缺金额说明",IF(AND(NOT(ISBLANK(F49)),OR(NOT(ISNUMBER(F49)),F49&lt;0)),"金额须为非负数","字段齐备"))))))</x:f>
      </x:c>
    </x:row>
    <x:row r="50" ht="32" customHeight="1">
      <x:c r="A50" s="8"/>
      <x:c r="B50" s="8"/>
      <x:c r="C50" s="8"/>
      <x:c r="D50" s="8"/>
      <x:c r="E50" s="8"/>
      <x:c r="F50" s="11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10" t="str">
        <x:f>IF(COUNTA(A50:P50)=0,"",IF(OR(A50="",B50="",C50="",D50="",E50="",G50="",H50="",I50="",J50="",K50="",L50="",M50="",N50=""),"缺必填",IF(COUNTIF($A$2:$A$201,A50)&gt;1,"ID重复",IF(COUNTIF('任务登记'!$A$2:$A$201,B50)&lt;&gt;1,"任务ID无效",IF(AND(ISBLANK(F50),P50=""),"缺金额说明",IF(AND(NOT(ISBLANK(F50)),OR(NOT(ISNUMBER(F50)),F50&lt;0)),"金额须为非负数","字段齐备"))))))</x:f>
      </x:c>
    </x:row>
    <x:row r="51" ht="32" customHeight="1">
      <x:c r="A51" s="8"/>
      <x:c r="B51" s="8"/>
      <x:c r="C51" s="8"/>
      <x:c r="D51" s="8"/>
      <x:c r="E51" s="8"/>
      <x:c r="F51" s="11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10" t="str">
        <x:f>IF(COUNTA(A51:P51)=0,"",IF(OR(A51="",B51="",C51="",D51="",E51="",G51="",H51="",I51="",J51="",K51="",L51="",M51="",N51=""),"缺必填",IF(COUNTIF($A$2:$A$201,A51)&gt;1,"ID重复",IF(COUNTIF('任务登记'!$A$2:$A$201,B51)&lt;&gt;1,"任务ID无效",IF(AND(ISBLANK(F51),P51=""),"缺金额说明",IF(AND(NOT(ISBLANK(F51)),OR(NOT(ISNUMBER(F51)),F51&lt;0)),"金额须为非负数","字段齐备"))))))</x:f>
      </x:c>
    </x:row>
    <x:row r="52" ht="32" customHeight="1">
      <x:c r="A52" s="8"/>
      <x:c r="B52" s="8"/>
      <x:c r="C52" s="8"/>
      <x:c r="D52" s="8"/>
      <x:c r="E52" s="8"/>
      <x:c r="F52" s="11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10" t="str">
        <x:f>IF(COUNTA(A52:P52)=0,"",IF(OR(A52="",B52="",C52="",D52="",E52="",G52="",H52="",I52="",J52="",K52="",L52="",M52="",N52=""),"缺必填",IF(COUNTIF($A$2:$A$201,A52)&gt;1,"ID重复",IF(COUNTIF('任务登记'!$A$2:$A$201,B52)&lt;&gt;1,"任务ID无效",IF(AND(ISBLANK(F52),P52=""),"缺金额说明",IF(AND(NOT(ISBLANK(F52)),OR(NOT(ISNUMBER(F52)),F52&lt;0)),"金额须为非负数","字段齐备"))))))</x:f>
      </x:c>
    </x:row>
    <x:row r="53" ht="32" customHeight="1">
      <x:c r="A53" s="8"/>
      <x:c r="B53" s="8"/>
      <x:c r="C53" s="8"/>
      <x:c r="D53" s="8"/>
      <x:c r="E53" s="8"/>
      <x:c r="F53" s="11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10" t="str">
        <x:f>IF(COUNTA(A53:P53)=0,"",IF(OR(A53="",B53="",C53="",D53="",E53="",G53="",H53="",I53="",J53="",K53="",L53="",M53="",N53=""),"缺必填",IF(COUNTIF($A$2:$A$201,A53)&gt;1,"ID重复",IF(COUNTIF('任务登记'!$A$2:$A$201,B53)&lt;&gt;1,"任务ID无效",IF(AND(ISBLANK(F53),P53=""),"缺金额说明",IF(AND(NOT(ISBLANK(F53)),OR(NOT(ISNUMBER(F53)),F53&lt;0)),"金额须为非负数","字段齐备"))))))</x:f>
      </x:c>
    </x:row>
    <x:row r="54" ht="32" customHeight="1">
      <x:c r="A54" s="8"/>
      <x:c r="B54" s="8"/>
      <x:c r="C54" s="8"/>
      <x:c r="D54" s="8"/>
      <x:c r="E54" s="8"/>
      <x:c r="F54" s="11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10" t="str">
        <x:f>IF(COUNTA(A54:P54)=0,"",IF(OR(A54="",B54="",C54="",D54="",E54="",G54="",H54="",I54="",J54="",K54="",L54="",M54="",N54=""),"缺必填",IF(COUNTIF($A$2:$A$201,A54)&gt;1,"ID重复",IF(COUNTIF('任务登记'!$A$2:$A$201,B54)&lt;&gt;1,"任务ID无效",IF(AND(ISBLANK(F54),P54=""),"缺金额说明",IF(AND(NOT(ISBLANK(F54)),OR(NOT(ISNUMBER(F54)),F54&lt;0)),"金额须为非负数","字段齐备"))))))</x:f>
      </x:c>
    </x:row>
    <x:row r="55" ht="32" customHeight="1">
      <x:c r="A55" s="8"/>
      <x:c r="B55" s="8"/>
      <x:c r="C55" s="8"/>
      <x:c r="D55" s="8"/>
      <x:c r="E55" s="8"/>
      <x:c r="F55" s="11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10" t="str">
        <x:f>IF(COUNTA(A55:P55)=0,"",IF(OR(A55="",B55="",C55="",D55="",E55="",G55="",H55="",I55="",J55="",K55="",L55="",M55="",N55=""),"缺必填",IF(COUNTIF($A$2:$A$201,A55)&gt;1,"ID重复",IF(COUNTIF('任务登记'!$A$2:$A$201,B55)&lt;&gt;1,"任务ID无效",IF(AND(ISBLANK(F55),P55=""),"缺金额说明",IF(AND(NOT(ISBLANK(F55)),OR(NOT(ISNUMBER(F55)),F55&lt;0)),"金额须为非负数","字段齐备"))))))</x:f>
      </x:c>
    </x:row>
    <x:row r="56" ht="32" customHeight="1">
      <x:c r="A56" s="8"/>
      <x:c r="B56" s="8"/>
      <x:c r="C56" s="8"/>
      <x:c r="D56" s="8"/>
      <x:c r="E56" s="8"/>
      <x:c r="F56" s="11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10" t="str">
        <x:f>IF(COUNTA(A56:P56)=0,"",IF(OR(A56="",B56="",C56="",D56="",E56="",G56="",H56="",I56="",J56="",K56="",L56="",M56="",N56=""),"缺必填",IF(COUNTIF($A$2:$A$201,A56)&gt;1,"ID重复",IF(COUNTIF('任务登记'!$A$2:$A$201,B56)&lt;&gt;1,"任务ID无效",IF(AND(ISBLANK(F56),P56=""),"缺金额说明",IF(AND(NOT(ISBLANK(F56)),OR(NOT(ISNUMBER(F56)),F56&lt;0)),"金额须为非负数","字段齐备"))))))</x:f>
      </x:c>
    </x:row>
    <x:row r="57" ht="32" customHeight="1">
      <x:c r="A57" s="8"/>
      <x:c r="B57" s="8"/>
      <x:c r="C57" s="8"/>
      <x:c r="D57" s="8"/>
      <x:c r="E57" s="8"/>
      <x:c r="F57" s="11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10" t="str">
        <x:f>IF(COUNTA(A57:P57)=0,"",IF(OR(A57="",B57="",C57="",D57="",E57="",G57="",H57="",I57="",J57="",K57="",L57="",M57="",N57=""),"缺必填",IF(COUNTIF($A$2:$A$201,A57)&gt;1,"ID重复",IF(COUNTIF('任务登记'!$A$2:$A$201,B57)&lt;&gt;1,"任务ID无效",IF(AND(ISBLANK(F57),P57=""),"缺金额说明",IF(AND(NOT(ISBLANK(F57)),OR(NOT(ISNUMBER(F57)),F57&lt;0)),"金额须为非负数","字段齐备"))))))</x:f>
      </x:c>
    </x:row>
    <x:row r="58" ht="32" customHeight="1">
      <x:c r="A58" s="8"/>
      <x:c r="B58" s="8"/>
      <x:c r="C58" s="8"/>
      <x:c r="D58" s="8"/>
      <x:c r="E58" s="8"/>
      <x:c r="F58" s="11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10" t="str">
        <x:f>IF(COUNTA(A58:P58)=0,"",IF(OR(A58="",B58="",C58="",D58="",E58="",G58="",H58="",I58="",J58="",K58="",L58="",M58="",N58=""),"缺必填",IF(COUNTIF($A$2:$A$201,A58)&gt;1,"ID重复",IF(COUNTIF('任务登记'!$A$2:$A$201,B58)&lt;&gt;1,"任务ID无效",IF(AND(ISBLANK(F58),P58=""),"缺金额说明",IF(AND(NOT(ISBLANK(F58)),OR(NOT(ISNUMBER(F58)),F58&lt;0)),"金额须为非负数","字段齐备"))))))</x:f>
      </x:c>
    </x:row>
    <x:row r="59" ht="32" customHeight="1">
      <x:c r="A59" s="8"/>
      <x:c r="B59" s="8"/>
      <x:c r="C59" s="8"/>
      <x:c r="D59" s="8"/>
      <x:c r="E59" s="8"/>
      <x:c r="F59" s="11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10" t="str">
        <x:f>IF(COUNTA(A59:P59)=0,"",IF(OR(A59="",B59="",C59="",D59="",E59="",G59="",H59="",I59="",J59="",K59="",L59="",M59="",N59=""),"缺必填",IF(COUNTIF($A$2:$A$201,A59)&gt;1,"ID重复",IF(COUNTIF('任务登记'!$A$2:$A$201,B59)&lt;&gt;1,"任务ID无效",IF(AND(ISBLANK(F59),P59=""),"缺金额说明",IF(AND(NOT(ISBLANK(F59)),OR(NOT(ISNUMBER(F59)),F59&lt;0)),"金额须为非负数","字段齐备"))))))</x:f>
      </x:c>
    </x:row>
    <x:row r="60" ht="32" customHeight="1">
      <x:c r="A60" s="8"/>
      <x:c r="B60" s="8"/>
      <x:c r="C60" s="8"/>
      <x:c r="D60" s="8"/>
      <x:c r="E60" s="8"/>
      <x:c r="F60" s="11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10" t="str">
        <x:f>IF(COUNTA(A60:P60)=0,"",IF(OR(A60="",B60="",C60="",D60="",E60="",G60="",H60="",I60="",J60="",K60="",L60="",M60="",N60=""),"缺必填",IF(COUNTIF($A$2:$A$201,A60)&gt;1,"ID重复",IF(COUNTIF('任务登记'!$A$2:$A$201,B60)&lt;&gt;1,"任务ID无效",IF(AND(ISBLANK(F60),P60=""),"缺金额说明",IF(AND(NOT(ISBLANK(F60)),OR(NOT(ISNUMBER(F60)),F60&lt;0)),"金额须为非负数","字段齐备"))))))</x:f>
      </x:c>
    </x:row>
    <x:row r="61" ht="32" customHeight="1">
      <x:c r="A61" s="8"/>
      <x:c r="B61" s="8"/>
      <x:c r="C61" s="8"/>
      <x:c r="D61" s="8"/>
      <x:c r="E61" s="8"/>
      <x:c r="F61" s="11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10" t="str">
        <x:f>IF(COUNTA(A61:P61)=0,"",IF(OR(A61="",B61="",C61="",D61="",E61="",G61="",H61="",I61="",J61="",K61="",L61="",M61="",N61=""),"缺必填",IF(COUNTIF($A$2:$A$201,A61)&gt;1,"ID重复",IF(COUNTIF('任务登记'!$A$2:$A$201,B61)&lt;&gt;1,"任务ID无效",IF(AND(ISBLANK(F61),P61=""),"缺金额说明",IF(AND(NOT(ISBLANK(F61)),OR(NOT(ISNUMBER(F61)),F61&lt;0)),"金额须为非负数","字段齐备"))))))</x:f>
      </x:c>
    </x:row>
    <x:row r="62" ht="32" customHeight="1">
      <x:c r="A62" s="8"/>
      <x:c r="B62" s="8"/>
      <x:c r="C62" s="8"/>
      <x:c r="D62" s="8"/>
      <x:c r="E62" s="8"/>
      <x:c r="F62" s="11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10" t="str">
        <x:f>IF(COUNTA(A62:P62)=0,"",IF(OR(A62="",B62="",C62="",D62="",E62="",G62="",H62="",I62="",J62="",K62="",L62="",M62="",N62=""),"缺必填",IF(COUNTIF($A$2:$A$201,A62)&gt;1,"ID重复",IF(COUNTIF('任务登记'!$A$2:$A$201,B62)&lt;&gt;1,"任务ID无效",IF(AND(ISBLANK(F62),P62=""),"缺金额说明",IF(AND(NOT(ISBLANK(F62)),OR(NOT(ISNUMBER(F62)),F62&lt;0)),"金额须为非负数","字段齐备"))))))</x:f>
      </x:c>
    </x:row>
    <x:row r="63" ht="32" customHeight="1">
      <x:c r="A63" s="8"/>
      <x:c r="B63" s="8"/>
      <x:c r="C63" s="8"/>
      <x:c r="D63" s="8"/>
      <x:c r="E63" s="8"/>
      <x:c r="F63" s="11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10" t="str">
        <x:f>IF(COUNTA(A63:P63)=0,"",IF(OR(A63="",B63="",C63="",D63="",E63="",G63="",H63="",I63="",J63="",K63="",L63="",M63="",N63=""),"缺必填",IF(COUNTIF($A$2:$A$201,A63)&gt;1,"ID重复",IF(COUNTIF('任务登记'!$A$2:$A$201,B63)&lt;&gt;1,"任务ID无效",IF(AND(ISBLANK(F63),P63=""),"缺金额说明",IF(AND(NOT(ISBLANK(F63)),OR(NOT(ISNUMBER(F63)),F63&lt;0)),"金额须为非负数","字段齐备"))))))</x:f>
      </x:c>
    </x:row>
    <x:row r="64" ht="32" customHeight="1">
      <x:c r="A64" s="8"/>
      <x:c r="B64" s="8"/>
      <x:c r="C64" s="8"/>
      <x:c r="D64" s="8"/>
      <x:c r="E64" s="8"/>
      <x:c r="F64" s="11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10" t="str">
        <x:f>IF(COUNTA(A64:P64)=0,"",IF(OR(A64="",B64="",C64="",D64="",E64="",G64="",H64="",I64="",J64="",K64="",L64="",M64="",N64=""),"缺必填",IF(COUNTIF($A$2:$A$201,A64)&gt;1,"ID重复",IF(COUNTIF('任务登记'!$A$2:$A$201,B64)&lt;&gt;1,"任务ID无效",IF(AND(ISBLANK(F64),P64=""),"缺金额说明",IF(AND(NOT(ISBLANK(F64)),OR(NOT(ISNUMBER(F64)),F64&lt;0)),"金额须为非负数","字段齐备"))))))</x:f>
      </x:c>
    </x:row>
    <x:row r="65" ht="32" customHeight="1">
      <x:c r="A65" s="8"/>
      <x:c r="B65" s="8"/>
      <x:c r="C65" s="8"/>
      <x:c r="D65" s="8"/>
      <x:c r="E65" s="8"/>
      <x:c r="F65" s="11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10" t="str">
        <x:f>IF(COUNTA(A65:P65)=0,"",IF(OR(A65="",B65="",C65="",D65="",E65="",G65="",H65="",I65="",J65="",K65="",L65="",M65="",N65=""),"缺必填",IF(COUNTIF($A$2:$A$201,A65)&gt;1,"ID重复",IF(COUNTIF('任务登记'!$A$2:$A$201,B65)&lt;&gt;1,"任务ID无效",IF(AND(ISBLANK(F65),P65=""),"缺金额说明",IF(AND(NOT(ISBLANK(F65)),OR(NOT(ISNUMBER(F65)),F65&lt;0)),"金额须为非负数","字段齐备"))))))</x:f>
      </x:c>
    </x:row>
    <x:row r="66" ht="32" customHeight="1">
      <x:c r="A66" s="8"/>
      <x:c r="B66" s="8"/>
      <x:c r="C66" s="8"/>
      <x:c r="D66" s="8"/>
      <x:c r="E66" s="8"/>
      <x:c r="F66" s="11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10" t="str">
        <x:f>IF(COUNTA(A66:P66)=0,"",IF(OR(A66="",B66="",C66="",D66="",E66="",G66="",H66="",I66="",J66="",K66="",L66="",M66="",N66=""),"缺必填",IF(COUNTIF($A$2:$A$201,A66)&gt;1,"ID重复",IF(COUNTIF('任务登记'!$A$2:$A$201,B66)&lt;&gt;1,"任务ID无效",IF(AND(ISBLANK(F66),P66=""),"缺金额说明",IF(AND(NOT(ISBLANK(F66)),OR(NOT(ISNUMBER(F66)),F66&lt;0)),"金额须为非负数","字段齐备"))))))</x:f>
      </x:c>
    </x:row>
    <x:row r="67" ht="32" customHeight="1">
      <x:c r="A67" s="8"/>
      <x:c r="B67" s="8"/>
      <x:c r="C67" s="8"/>
      <x:c r="D67" s="8"/>
      <x:c r="E67" s="8"/>
      <x:c r="F67" s="11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10" t="str">
        <x:f>IF(COUNTA(A67:P67)=0,"",IF(OR(A67="",B67="",C67="",D67="",E67="",G67="",H67="",I67="",J67="",K67="",L67="",M67="",N67=""),"缺必填",IF(COUNTIF($A$2:$A$201,A67)&gt;1,"ID重复",IF(COUNTIF('任务登记'!$A$2:$A$201,B67)&lt;&gt;1,"任务ID无效",IF(AND(ISBLANK(F67),P67=""),"缺金额说明",IF(AND(NOT(ISBLANK(F67)),OR(NOT(ISNUMBER(F67)),F67&lt;0)),"金额须为非负数","字段齐备"))))))</x:f>
      </x:c>
    </x:row>
    <x:row r="68" ht="32" customHeight="1">
      <x:c r="A68" s="8"/>
      <x:c r="B68" s="8"/>
      <x:c r="C68" s="8"/>
      <x:c r="D68" s="8"/>
      <x:c r="E68" s="8"/>
      <x:c r="F68" s="11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10" t="str">
        <x:f>IF(COUNTA(A68:P68)=0,"",IF(OR(A68="",B68="",C68="",D68="",E68="",G68="",H68="",I68="",J68="",K68="",L68="",M68="",N68=""),"缺必填",IF(COUNTIF($A$2:$A$201,A68)&gt;1,"ID重复",IF(COUNTIF('任务登记'!$A$2:$A$201,B68)&lt;&gt;1,"任务ID无效",IF(AND(ISBLANK(F68),P68=""),"缺金额说明",IF(AND(NOT(ISBLANK(F68)),OR(NOT(ISNUMBER(F68)),F68&lt;0)),"金额须为非负数","字段齐备"))))))</x:f>
      </x:c>
    </x:row>
    <x:row r="69" ht="32" customHeight="1">
      <x:c r="A69" s="8"/>
      <x:c r="B69" s="8"/>
      <x:c r="C69" s="8"/>
      <x:c r="D69" s="8"/>
      <x:c r="E69" s="8"/>
      <x:c r="F69" s="11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10" t="str">
        <x:f>IF(COUNTA(A69:P69)=0,"",IF(OR(A69="",B69="",C69="",D69="",E69="",G69="",H69="",I69="",J69="",K69="",L69="",M69="",N69=""),"缺必填",IF(COUNTIF($A$2:$A$201,A69)&gt;1,"ID重复",IF(COUNTIF('任务登记'!$A$2:$A$201,B69)&lt;&gt;1,"任务ID无效",IF(AND(ISBLANK(F69),P69=""),"缺金额说明",IF(AND(NOT(ISBLANK(F69)),OR(NOT(ISNUMBER(F69)),F69&lt;0)),"金额须为非负数","字段齐备"))))))</x:f>
      </x:c>
    </x:row>
    <x:row r="70" ht="32" customHeight="1">
      <x:c r="A70" s="8"/>
      <x:c r="B70" s="8"/>
      <x:c r="C70" s="8"/>
      <x:c r="D70" s="8"/>
      <x:c r="E70" s="8"/>
      <x:c r="F70" s="11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10" t="str">
        <x:f>IF(COUNTA(A70:P70)=0,"",IF(OR(A70="",B70="",C70="",D70="",E70="",G70="",H70="",I70="",J70="",K70="",L70="",M70="",N70=""),"缺必填",IF(COUNTIF($A$2:$A$201,A70)&gt;1,"ID重复",IF(COUNTIF('任务登记'!$A$2:$A$201,B70)&lt;&gt;1,"任务ID无效",IF(AND(ISBLANK(F70),P70=""),"缺金额说明",IF(AND(NOT(ISBLANK(F70)),OR(NOT(ISNUMBER(F70)),F70&lt;0)),"金额须为非负数","字段齐备"))))))</x:f>
      </x:c>
    </x:row>
    <x:row r="71" ht="32" customHeight="1">
      <x:c r="A71" s="8"/>
      <x:c r="B71" s="8"/>
      <x:c r="C71" s="8"/>
      <x:c r="D71" s="8"/>
      <x:c r="E71" s="8"/>
      <x:c r="F71" s="11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10" t="str">
        <x:f>IF(COUNTA(A71:P71)=0,"",IF(OR(A71="",B71="",C71="",D71="",E71="",G71="",H71="",I71="",J71="",K71="",L71="",M71="",N71=""),"缺必填",IF(COUNTIF($A$2:$A$201,A71)&gt;1,"ID重复",IF(COUNTIF('任务登记'!$A$2:$A$201,B71)&lt;&gt;1,"任务ID无效",IF(AND(ISBLANK(F71),P71=""),"缺金额说明",IF(AND(NOT(ISBLANK(F71)),OR(NOT(ISNUMBER(F71)),F71&lt;0)),"金额须为非负数","字段齐备"))))))</x:f>
      </x:c>
    </x:row>
    <x:row r="72" ht="32" customHeight="1">
      <x:c r="A72" s="8"/>
      <x:c r="B72" s="8"/>
      <x:c r="C72" s="8"/>
      <x:c r="D72" s="8"/>
      <x:c r="E72" s="8"/>
      <x:c r="F72" s="11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10" t="str">
        <x:f>IF(COUNTA(A72:P72)=0,"",IF(OR(A72="",B72="",C72="",D72="",E72="",G72="",H72="",I72="",J72="",K72="",L72="",M72="",N72=""),"缺必填",IF(COUNTIF($A$2:$A$201,A72)&gt;1,"ID重复",IF(COUNTIF('任务登记'!$A$2:$A$201,B72)&lt;&gt;1,"任务ID无效",IF(AND(ISBLANK(F72),P72=""),"缺金额说明",IF(AND(NOT(ISBLANK(F72)),OR(NOT(ISNUMBER(F72)),F72&lt;0)),"金额须为非负数","字段齐备"))))))</x:f>
      </x:c>
    </x:row>
    <x:row r="73" ht="32" customHeight="1">
      <x:c r="A73" s="8"/>
      <x:c r="B73" s="8"/>
      <x:c r="C73" s="8"/>
      <x:c r="D73" s="8"/>
      <x:c r="E73" s="8"/>
      <x:c r="F73" s="11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10" t="str">
        <x:f>IF(COUNTA(A73:P73)=0,"",IF(OR(A73="",B73="",C73="",D73="",E73="",G73="",H73="",I73="",J73="",K73="",L73="",M73="",N73=""),"缺必填",IF(COUNTIF($A$2:$A$201,A73)&gt;1,"ID重复",IF(COUNTIF('任务登记'!$A$2:$A$201,B73)&lt;&gt;1,"任务ID无效",IF(AND(ISBLANK(F73),P73=""),"缺金额说明",IF(AND(NOT(ISBLANK(F73)),OR(NOT(ISNUMBER(F73)),F73&lt;0)),"金额须为非负数","字段齐备"))))))</x:f>
      </x:c>
    </x:row>
    <x:row r="74" ht="32" customHeight="1">
      <x:c r="A74" s="8"/>
      <x:c r="B74" s="8"/>
      <x:c r="C74" s="8"/>
      <x:c r="D74" s="8"/>
      <x:c r="E74" s="8"/>
      <x:c r="F74" s="11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10" t="str">
        <x:f>IF(COUNTA(A74:P74)=0,"",IF(OR(A74="",B74="",C74="",D74="",E74="",G74="",H74="",I74="",J74="",K74="",L74="",M74="",N74=""),"缺必填",IF(COUNTIF($A$2:$A$201,A74)&gt;1,"ID重复",IF(COUNTIF('任务登记'!$A$2:$A$201,B74)&lt;&gt;1,"任务ID无效",IF(AND(ISBLANK(F74),P74=""),"缺金额说明",IF(AND(NOT(ISBLANK(F74)),OR(NOT(ISNUMBER(F74)),F74&lt;0)),"金额须为非负数","字段齐备"))))))</x:f>
      </x:c>
    </x:row>
    <x:row r="75" ht="32" customHeight="1">
      <x:c r="A75" s="8"/>
      <x:c r="B75" s="8"/>
      <x:c r="C75" s="8"/>
      <x:c r="D75" s="8"/>
      <x:c r="E75" s="8"/>
      <x:c r="F75" s="11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10" t="str">
        <x:f>IF(COUNTA(A75:P75)=0,"",IF(OR(A75="",B75="",C75="",D75="",E75="",G75="",H75="",I75="",J75="",K75="",L75="",M75="",N75=""),"缺必填",IF(COUNTIF($A$2:$A$201,A75)&gt;1,"ID重复",IF(COUNTIF('任务登记'!$A$2:$A$201,B75)&lt;&gt;1,"任务ID无效",IF(AND(ISBLANK(F75),P75=""),"缺金额说明",IF(AND(NOT(ISBLANK(F75)),OR(NOT(ISNUMBER(F75)),F75&lt;0)),"金额须为非负数","字段齐备"))))))</x:f>
      </x:c>
    </x:row>
    <x:row r="76" ht="32" customHeight="1">
      <x:c r="A76" s="8"/>
      <x:c r="B76" s="8"/>
      <x:c r="C76" s="8"/>
      <x:c r="D76" s="8"/>
      <x:c r="E76" s="8"/>
      <x:c r="F76" s="11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10" t="str">
        <x:f>IF(COUNTA(A76:P76)=0,"",IF(OR(A76="",B76="",C76="",D76="",E76="",G76="",H76="",I76="",J76="",K76="",L76="",M76="",N76=""),"缺必填",IF(COUNTIF($A$2:$A$201,A76)&gt;1,"ID重复",IF(COUNTIF('任务登记'!$A$2:$A$201,B76)&lt;&gt;1,"任务ID无效",IF(AND(ISBLANK(F76),P76=""),"缺金额说明",IF(AND(NOT(ISBLANK(F76)),OR(NOT(ISNUMBER(F76)),F76&lt;0)),"金额须为非负数","字段齐备"))))))</x:f>
      </x:c>
    </x:row>
    <x:row r="77" ht="32" customHeight="1">
      <x:c r="A77" s="8"/>
      <x:c r="B77" s="8"/>
      <x:c r="C77" s="8"/>
      <x:c r="D77" s="8"/>
      <x:c r="E77" s="8"/>
      <x:c r="F77" s="11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10" t="str">
        <x:f>IF(COUNTA(A77:P77)=0,"",IF(OR(A77="",B77="",C77="",D77="",E77="",G77="",H77="",I77="",J77="",K77="",L77="",M77="",N77=""),"缺必填",IF(COUNTIF($A$2:$A$201,A77)&gt;1,"ID重复",IF(COUNTIF('任务登记'!$A$2:$A$201,B77)&lt;&gt;1,"任务ID无效",IF(AND(ISBLANK(F77),P77=""),"缺金额说明",IF(AND(NOT(ISBLANK(F77)),OR(NOT(ISNUMBER(F77)),F77&lt;0)),"金额须为非负数","字段齐备"))))))</x:f>
      </x:c>
    </x:row>
    <x:row r="78" ht="32" customHeight="1">
      <x:c r="A78" s="8"/>
      <x:c r="B78" s="8"/>
      <x:c r="C78" s="8"/>
      <x:c r="D78" s="8"/>
      <x:c r="E78" s="8"/>
      <x:c r="F78" s="11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10" t="str">
        <x:f>IF(COUNTA(A78:P78)=0,"",IF(OR(A78="",B78="",C78="",D78="",E78="",G78="",H78="",I78="",J78="",K78="",L78="",M78="",N78=""),"缺必填",IF(COUNTIF($A$2:$A$201,A78)&gt;1,"ID重复",IF(COUNTIF('任务登记'!$A$2:$A$201,B78)&lt;&gt;1,"任务ID无效",IF(AND(ISBLANK(F78),P78=""),"缺金额说明",IF(AND(NOT(ISBLANK(F78)),OR(NOT(ISNUMBER(F78)),F78&lt;0)),"金额须为非负数","字段齐备"))))))</x:f>
      </x:c>
    </x:row>
    <x:row r="79" ht="32" customHeight="1">
      <x:c r="A79" s="8"/>
      <x:c r="B79" s="8"/>
      <x:c r="C79" s="8"/>
      <x:c r="D79" s="8"/>
      <x:c r="E79" s="8"/>
      <x:c r="F79" s="11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10" t="str">
        <x:f>IF(COUNTA(A79:P79)=0,"",IF(OR(A79="",B79="",C79="",D79="",E79="",G79="",H79="",I79="",J79="",K79="",L79="",M79="",N79=""),"缺必填",IF(COUNTIF($A$2:$A$201,A79)&gt;1,"ID重复",IF(COUNTIF('任务登记'!$A$2:$A$201,B79)&lt;&gt;1,"任务ID无效",IF(AND(ISBLANK(F79),P79=""),"缺金额说明",IF(AND(NOT(ISBLANK(F79)),OR(NOT(ISNUMBER(F79)),F79&lt;0)),"金额须为非负数","字段齐备"))))))</x:f>
      </x:c>
    </x:row>
    <x:row r="80" ht="32" customHeight="1">
      <x:c r="A80" s="8"/>
      <x:c r="B80" s="8"/>
      <x:c r="C80" s="8"/>
      <x:c r="D80" s="8"/>
      <x:c r="E80" s="8"/>
      <x:c r="F80" s="11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10" t="str">
        <x:f>IF(COUNTA(A80:P80)=0,"",IF(OR(A80="",B80="",C80="",D80="",E80="",G80="",H80="",I80="",J80="",K80="",L80="",M80="",N80=""),"缺必填",IF(COUNTIF($A$2:$A$201,A80)&gt;1,"ID重复",IF(COUNTIF('任务登记'!$A$2:$A$201,B80)&lt;&gt;1,"任务ID无效",IF(AND(ISBLANK(F80),P80=""),"缺金额说明",IF(AND(NOT(ISBLANK(F80)),OR(NOT(ISNUMBER(F80)),F80&lt;0)),"金额须为非负数","字段齐备"))))))</x:f>
      </x:c>
    </x:row>
    <x:row r="81" ht="32" customHeight="1">
      <x:c r="A81" s="8"/>
      <x:c r="B81" s="8"/>
      <x:c r="C81" s="8"/>
      <x:c r="D81" s="8"/>
      <x:c r="E81" s="8"/>
      <x:c r="F81" s="11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10" t="str">
        <x:f>IF(COUNTA(A81:P81)=0,"",IF(OR(A81="",B81="",C81="",D81="",E81="",G81="",H81="",I81="",J81="",K81="",L81="",M81="",N81=""),"缺必填",IF(COUNTIF($A$2:$A$201,A81)&gt;1,"ID重复",IF(COUNTIF('任务登记'!$A$2:$A$201,B81)&lt;&gt;1,"任务ID无效",IF(AND(ISBLANK(F81),P81=""),"缺金额说明",IF(AND(NOT(ISBLANK(F81)),OR(NOT(ISNUMBER(F81)),F81&lt;0)),"金额须为非负数","字段齐备"))))))</x:f>
      </x:c>
    </x:row>
    <x:row r="82" ht="32" customHeight="1">
      <x:c r="A82" s="8"/>
      <x:c r="B82" s="8"/>
      <x:c r="C82" s="8"/>
      <x:c r="D82" s="8"/>
      <x:c r="E82" s="8"/>
      <x:c r="F82" s="11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10" t="str">
        <x:f>IF(COUNTA(A82:P82)=0,"",IF(OR(A82="",B82="",C82="",D82="",E82="",G82="",H82="",I82="",J82="",K82="",L82="",M82="",N82=""),"缺必填",IF(COUNTIF($A$2:$A$201,A82)&gt;1,"ID重复",IF(COUNTIF('任务登记'!$A$2:$A$201,B82)&lt;&gt;1,"任务ID无效",IF(AND(ISBLANK(F82),P82=""),"缺金额说明",IF(AND(NOT(ISBLANK(F82)),OR(NOT(ISNUMBER(F82)),F82&lt;0)),"金额须为非负数","字段齐备"))))))</x:f>
      </x:c>
    </x:row>
    <x:row r="83" ht="32" customHeight="1">
      <x:c r="A83" s="8"/>
      <x:c r="B83" s="8"/>
      <x:c r="C83" s="8"/>
      <x:c r="D83" s="8"/>
      <x:c r="E83" s="8"/>
      <x:c r="F83" s="11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10" t="str">
        <x:f>IF(COUNTA(A83:P83)=0,"",IF(OR(A83="",B83="",C83="",D83="",E83="",G83="",H83="",I83="",J83="",K83="",L83="",M83="",N83=""),"缺必填",IF(COUNTIF($A$2:$A$201,A83)&gt;1,"ID重复",IF(COUNTIF('任务登记'!$A$2:$A$201,B83)&lt;&gt;1,"任务ID无效",IF(AND(ISBLANK(F83),P83=""),"缺金额说明",IF(AND(NOT(ISBLANK(F83)),OR(NOT(ISNUMBER(F83)),F83&lt;0)),"金额须为非负数","字段齐备"))))))</x:f>
      </x:c>
    </x:row>
    <x:row r="84" ht="32" customHeight="1">
      <x:c r="A84" s="8"/>
      <x:c r="B84" s="8"/>
      <x:c r="C84" s="8"/>
      <x:c r="D84" s="8"/>
      <x:c r="E84" s="8"/>
      <x:c r="F84" s="11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10" t="str">
        <x:f>IF(COUNTA(A84:P84)=0,"",IF(OR(A84="",B84="",C84="",D84="",E84="",G84="",H84="",I84="",J84="",K84="",L84="",M84="",N84=""),"缺必填",IF(COUNTIF($A$2:$A$201,A84)&gt;1,"ID重复",IF(COUNTIF('任务登记'!$A$2:$A$201,B84)&lt;&gt;1,"任务ID无效",IF(AND(ISBLANK(F84),P84=""),"缺金额说明",IF(AND(NOT(ISBLANK(F84)),OR(NOT(ISNUMBER(F84)),F84&lt;0)),"金额须为非负数","字段齐备"))))))</x:f>
      </x:c>
    </x:row>
    <x:row r="85" ht="32" customHeight="1">
      <x:c r="A85" s="8"/>
      <x:c r="B85" s="8"/>
      <x:c r="C85" s="8"/>
      <x:c r="D85" s="8"/>
      <x:c r="E85" s="8"/>
      <x:c r="F85" s="11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10" t="str">
        <x:f>IF(COUNTA(A85:P85)=0,"",IF(OR(A85="",B85="",C85="",D85="",E85="",G85="",H85="",I85="",J85="",K85="",L85="",M85="",N85=""),"缺必填",IF(COUNTIF($A$2:$A$201,A85)&gt;1,"ID重复",IF(COUNTIF('任务登记'!$A$2:$A$201,B85)&lt;&gt;1,"任务ID无效",IF(AND(ISBLANK(F85),P85=""),"缺金额说明",IF(AND(NOT(ISBLANK(F85)),OR(NOT(ISNUMBER(F85)),F85&lt;0)),"金额须为非负数","字段齐备"))))))</x:f>
      </x:c>
    </x:row>
    <x:row r="86" ht="32" customHeight="1">
      <x:c r="A86" s="8"/>
      <x:c r="B86" s="8"/>
      <x:c r="C86" s="8"/>
      <x:c r="D86" s="8"/>
      <x:c r="E86" s="8"/>
      <x:c r="F86" s="11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10" t="str">
        <x:f>IF(COUNTA(A86:P86)=0,"",IF(OR(A86="",B86="",C86="",D86="",E86="",G86="",H86="",I86="",J86="",K86="",L86="",M86="",N86=""),"缺必填",IF(COUNTIF($A$2:$A$201,A86)&gt;1,"ID重复",IF(COUNTIF('任务登记'!$A$2:$A$201,B86)&lt;&gt;1,"任务ID无效",IF(AND(ISBLANK(F86),P86=""),"缺金额说明",IF(AND(NOT(ISBLANK(F86)),OR(NOT(ISNUMBER(F86)),F86&lt;0)),"金额须为非负数","字段齐备"))))))</x:f>
      </x:c>
    </x:row>
    <x:row r="87" ht="32" customHeight="1">
      <x:c r="A87" s="8"/>
      <x:c r="B87" s="8"/>
      <x:c r="C87" s="8"/>
      <x:c r="D87" s="8"/>
      <x:c r="E87" s="8"/>
      <x:c r="F87" s="11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10" t="str">
        <x:f>IF(COUNTA(A87:P87)=0,"",IF(OR(A87="",B87="",C87="",D87="",E87="",G87="",H87="",I87="",J87="",K87="",L87="",M87="",N87=""),"缺必填",IF(COUNTIF($A$2:$A$201,A87)&gt;1,"ID重复",IF(COUNTIF('任务登记'!$A$2:$A$201,B87)&lt;&gt;1,"任务ID无效",IF(AND(ISBLANK(F87),P87=""),"缺金额说明",IF(AND(NOT(ISBLANK(F87)),OR(NOT(ISNUMBER(F87)),F87&lt;0)),"金额须为非负数","字段齐备"))))))</x:f>
      </x:c>
    </x:row>
    <x:row r="88" ht="32" customHeight="1">
      <x:c r="A88" s="8"/>
      <x:c r="B88" s="8"/>
      <x:c r="C88" s="8"/>
      <x:c r="D88" s="8"/>
      <x:c r="E88" s="8"/>
      <x:c r="F88" s="11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10" t="str">
        <x:f>IF(COUNTA(A88:P88)=0,"",IF(OR(A88="",B88="",C88="",D88="",E88="",G88="",H88="",I88="",J88="",K88="",L88="",M88="",N88=""),"缺必填",IF(COUNTIF($A$2:$A$201,A88)&gt;1,"ID重复",IF(COUNTIF('任务登记'!$A$2:$A$201,B88)&lt;&gt;1,"任务ID无效",IF(AND(ISBLANK(F88),P88=""),"缺金额说明",IF(AND(NOT(ISBLANK(F88)),OR(NOT(ISNUMBER(F88)),F88&lt;0)),"金额须为非负数","字段齐备"))))))</x:f>
      </x:c>
    </x:row>
    <x:row r="89" ht="32" customHeight="1">
      <x:c r="A89" s="8"/>
      <x:c r="B89" s="8"/>
      <x:c r="C89" s="8"/>
      <x:c r="D89" s="8"/>
      <x:c r="E89" s="8"/>
      <x:c r="F89" s="11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10" t="str">
        <x:f>IF(COUNTA(A89:P89)=0,"",IF(OR(A89="",B89="",C89="",D89="",E89="",G89="",H89="",I89="",J89="",K89="",L89="",M89="",N89=""),"缺必填",IF(COUNTIF($A$2:$A$201,A89)&gt;1,"ID重复",IF(COUNTIF('任务登记'!$A$2:$A$201,B89)&lt;&gt;1,"任务ID无效",IF(AND(ISBLANK(F89),P89=""),"缺金额说明",IF(AND(NOT(ISBLANK(F89)),OR(NOT(ISNUMBER(F89)),F89&lt;0)),"金额须为非负数","字段齐备"))))))</x:f>
      </x:c>
    </x:row>
    <x:row r="90" ht="32" customHeight="1">
      <x:c r="A90" s="8"/>
      <x:c r="B90" s="8"/>
      <x:c r="C90" s="8"/>
      <x:c r="D90" s="8"/>
      <x:c r="E90" s="8"/>
      <x:c r="F90" s="11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10" t="str">
        <x:f>IF(COUNTA(A90:P90)=0,"",IF(OR(A90="",B90="",C90="",D90="",E90="",G90="",H90="",I90="",J90="",K90="",L90="",M90="",N90=""),"缺必填",IF(COUNTIF($A$2:$A$201,A90)&gt;1,"ID重复",IF(COUNTIF('任务登记'!$A$2:$A$201,B90)&lt;&gt;1,"任务ID无效",IF(AND(ISBLANK(F90),P90=""),"缺金额说明",IF(AND(NOT(ISBLANK(F90)),OR(NOT(ISNUMBER(F90)),F90&lt;0)),"金额须为非负数","字段齐备"))))))</x:f>
      </x:c>
    </x:row>
    <x:row r="91" ht="32" customHeight="1">
      <x:c r="A91" s="8"/>
      <x:c r="B91" s="8"/>
      <x:c r="C91" s="8"/>
      <x:c r="D91" s="8"/>
      <x:c r="E91" s="8"/>
      <x:c r="F91" s="11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10" t="str">
        <x:f>IF(COUNTA(A91:P91)=0,"",IF(OR(A91="",B91="",C91="",D91="",E91="",G91="",H91="",I91="",J91="",K91="",L91="",M91="",N91=""),"缺必填",IF(COUNTIF($A$2:$A$201,A91)&gt;1,"ID重复",IF(COUNTIF('任务登记'!$A$2:$A$201,B91)&lt;&gt;1,"任务ID无效",IF(AND(ISBLANK(F91),P91=""),"缺金额说明",IF(AND(NOT(ISBLANK(F91)),OR(NOT(ISNUMBER(F91)),F91&lt;0)),"金额须为非负数","字段齐备"))))))</x:f>
      </x:c>
    </x:row>
    <x:row r="92" ht="32" customHeight="1">
      <x:c r="A92" s="8"/>
      <x:c r="B92" s="8"/>
      <x:c r="C92" s="8"/>
      <x:c r="D92" s="8"/>
      <x:c r="E92" s="8"/>
      <x:c r="F92" s="11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10" t="str">
        <x:f>IF(COUNTA(A92:P92)=0,"",IF(OR(A92="",B92="",C92="",D92="",E92="",G92="",H92="",I92="",J92="",K92="",L92="",M92="",N92=""),"缺必填",IF(COUNTIF($A$2:$A$201,A92)&gt;1,"ID重复",IF(COUNTIF('任务登记'!$A$2:$A$201,B92)&lt;&gt;1,"任务ID无效",IF(AND(ISBLANK(F92),P92=""),"缺金额说明",IF(AND(NOT(ISBLANK(F92)),OR(NOT(ISNUMBER(F92)),F92&lt;0)),"金额须为非负数","字段齐备"))))))</x:f>
      </x:c>
    </x:row>
    <x:row r="93" ht="32" customHeight="1">
      <x:c r="A93" s="8"/>
      <x:c r="B93" s="8"/>
      <x:c r="C93" s="8"/>
      <x:c r="D93" s="8"/>
      <x:c r="E93" s="8"/>
      <x:c r="F93" s="11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10" t="str">
        <x:f>IF(COUNTA(A93:P93)=0,"",IF(OR(A93="",B93="",C93="",D93="",E93="",G93="",H93="",I93="",J93="",K93="",L93="",M93="",N93=""),"缺必填",IF(COUNTIF($A$2:$A$201,A93)&gt;1,"ID重复",IF(COUNTIF('任务登记'!$A$2:$A$201,B93)&lt;&gt;1,"任务ID无效",IF(AND(ISBLANK(F93),P93=""),"缺金额说明",IF(AND(NOT(ISBLANK(F93)),OR(NOT(ISNUMBER(F93)),F93&lt;0)),"金额须为非负数","字段齐备"))))))</x:f>
      </x:c>
    </x:row>
    <x:row r="94" ht="32" customHeight="1">
      <x:c r="A94" s="8"/>
      <x:c r="B94" s="8"/>
      <x:c r="C94" s="8"/>
      <x:c r="D94" s="8"/>
      <x:c r="E94" s="8"/>
      <x:c r="F94" s="11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10" t="str">
        <x:f>IF(COUNTA(A94:P94)=0,"",IF(OR(A94="",B94="",C94="",D94="",E94="",G94="",H94="",I94="",J94="",K94="",L94="",M94="",N94=""),"缺必填",IF(COUNTIF($A$2:$A$201,A94)&gt;1,"ID重复",IF(COUNTIF('任务登记'!$A$2:$A$201,B94)&lt;&gt;1,"任务ID无效",IF(AND(ISBLANK(F94),P94=""),"缺金额说明",IF(AND(NOT(ISBLANK(F94)),OR(NOT(ISNUMBER(F94)),F94&lt;0)),"金额须为非负数","字段齐备"))))))</x:f>
      </x:c>
    </x:row>
    <x:row r="95" ht="32" customHeight="1">
      <x:c r="A95" s="8"/>
      <x:c r="B95" s="8"/>
      <x:c r="C95" s="8"/>
      <x:c r="D95" s="8"/>
      <x:c r="E95" s="8"/>
      <x:c r="F95" s="11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10" t="str">
        <x:f>IF(COUNTA(A95:P95)=0,"",IF(OR(A95="",B95="",C95="",D95="",E95="",G95="",H95="",I95="",J95="",K95="",L95="",M95="",N95=""),"缺必填",IF(COUNTIF($A$2:$A$201,A95)&gt;1,"ID重复",IF(COUNTIF('任务登记'!$A$2:$A$201,B95)&lt;&gt;1,"任务ID无效",IF(AND(ISBLANK(F95),P95=""),"缺金额说明",IF(AND(NOT(ISBLANK(F95)),OR(NOT(ISNUMBER(F95)),F95&lt;0)),"金额须为非负数","字段齐备"))))))</x:f>
      </x:c>
    </x:row>
    <x:row r="96" ht="32" customHeight="1">
      <x:c r="A96" s="8"/>
      <x:c r="B96" s="8"/>
      <x:c r="C96" s="8"/>
      <x:c r="D96" s="8"/>
      <x:c r="E96" s="8"/>
      <x:c r="F96" s="11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10" t="str">
        <x:f>IF(COUNTA(A96:P96)=0,"",IF(OR(A96="",B96="",C96="",D96="",E96="",G96="",H96="",I96="",J96="",K96="",L96="",M96="",N96=""),"缺必填",IF(COUNTIF($A$2:$A$201,A96)&gt;1,"ID重复",IF(COUNTIF('任务登记'!$A$2:$A$201,B96)&lt;&gt;1,"任务ID无效",IF(AND(ISBLANK(F96),P96=""),"缺金额说明",IF(AND(NOT(ISBLANK(F96)),OR(NOT(ISNUMBER(F96)),F96&lt;0)),"金额须为非负数","字段齐备"))))))</x:f>
      </x:c>
    </x:row>
    <x:row r="97" ht="32" customHeight="1">
      <x:c r="A97" s="8"/>
      <x:c r="B97" s="8"/>
      <x:c r="C97" s="8"/>
      <x:c r="D97" s="8"/>
      <x:c r="E97" s="8"/>
      <x:c r="F97" s="11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10" t="str">
        <x:f>IF(COUNTA(A97:P97)=0,"",IF(OR(A97="",B97="",C97="",D97="",E97="",G97="",H97="",I97="",J97="",K97="",L97="",M97="",N97=""),"缺必填",IF(COUNTIF($A$2:$A$201,A97)&gt;1,"ID重复",IF(COUNTIF('任务登记'!$A$2:$A$201,B97)&lt;&gt;1,"任务ID无效",IF(AND(ISBLANK(F97),P97=""),"缺金额说明",IF(AND(NOT(ISBLANK(F97)),OR(NOT(ISNUMBER(F97)),F97&lt;0)),"金额须为非负数","字段齐备"))))))</x:f>
      </x:c>
    </x:row>
    <x:row r="98" ht="32" customHeight="1">
      <x:c r="A98" s="8"/>
      <x:c r="B98" s="8"/>
      <x:c r="C98" s="8"/>
      <x:c r="D98" s="8"/>
      <x:c r="E98" s="8"/>
      <x:c r="F98" s="11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10" t="str">
        <x:f>IF(COUNTA(A98:P98)=0,"",IF(OR(A98="",B98="",C98="",D98="",E98="",G98="",H98="",I98="",J98="",K98="",L98="",M98="",N98=""),"缺必填",IF(COUNTIF($A$2:$A$201,A98)&gt;1,"ID重复",IF(COUNTIF('任务登记'!$A$2:$A$201,B98)&lt;&gt;1,"任务ID无效",IF(AND(ISBLANK(F98),P98=""),"缺金额说明",IF(AND(NOT(ISBLANK(F98)),OR(NOT(ISNUMBER(F98)),F98&lt;0)),"金额须为非负数","字段齐备"))))))</x:f>
      </x:c>
    </x:row>
    <x:row r="99" ht="32" customHeight="1">
      <x:c r="A99" s="8"/>
      <x:c r="B99" s="8"/>
      <x:c r="C99" s="8"/>
      <x:c r="D99" s="8"/>
      <x:c r="E99" s="8"/>
      <x:c r="F99" s="11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10" t="str">
        <x:f>IF(COUNTA(A99:P99)=0,"",IF(OR(A99="",B99="",C99="",D99="",E99="",G99="",H99="",I99="",J99="",K99="",L99="",M99="",N99=""),"缺必填",IF(COUNTIF($A$2:$A$201,A99)&gt;1,"ID重复",IF(COUNTIF('任务登记'!$A$2:$A$201,B99)&lt;&gt;1,"任务ID无效",IF(AND(ISBLANK(F99),P99=""),"缺金额说明",IF(AND(NOT(ISBLANK(F99)),OR(NOT(ISNUMBER(F99)),F99&lt;0)),"金额须为非负数","字段齐备"))))))</x:f>
      </x:c>
    </x:row>
    <x:row r="100" ht="32" customHeight="1">
      <x:c r="A100" s="8"/>
      <x:c r="B100" s="8"/>
      <x:c r="C100" s="8"/>
      <x:c r="D100" s="8"/>
      <x:c r="E100" s="8"/>
      <x:c r="F100" s="11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10" t="str">
        <x:f>IF(COUNTA(A100:P100)=0,"",IF(OR(A100="",B100="",C100="",D100="",E100="",G100="",H100="",I100="",J100="",K100="",L100="",M100="",N100=""),"缺必填",IF(COUNTIF($A$2:$A$201,A100)&gt;1,"ID重复",IF(COUNTIF('任务登记'!$A$2:$A$201,B100)&lt;&gt;1,"任务ID无效",IF(AND(ISBLANK(F100),P100=""),"缺金额说明",IF(AND(NOT(ISBLANK(F100)),OR(NOT(ISNUMBER(F100)),F100&lt;0)),"金额须为非负数","字段齐备"))))))</x:f>
      </x:c>
    </x:row>
    <x:row r="101" ht="32" customHeight="1">
      <x:c r="A101" s="8"/>
      <x:c r="B101" s="8"/>
      <x:c r="C101" s="8"/>
      <x:c r="D101" s="8"/>
      <x:c r="E101" s="8"/>
      <x:c r="F101" s="11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10" t="str">
        <x:f>IF(COUNTA(A101:P101)=0,"",IF(OR(A101="",B101="",C101="",D101="",E101="",G101="",H101="",I101="",J101="",K101="",L101="",M101="",N101=""),"缺必填",IF(COUNTIF($A$2:$A$201,A101)&gt;1,"ID重复",IF(COUNTIF('任务登记'!$A$2:$A$201,B101)&lt;&gt;1,"任务ID无效",IF(AND(ISBLANK(F101),P101=""),"缺金额说明",IF(AND(NOT(ISBLANK(F101)),OR(NOT(ISNUMBER(F101)),F101&lt;0)),"金额须为非负数","字段齐备"))))))</x:f>
      </x:c>
    </x:row>
    <x:row r="102" ht="32" customHeight="1">
      <x:c r="A102" s="8"/>
      <x:c r="B102" s="8"/>
      <x:c r="C102" s="8"/>
      <x:c r="D102" s="8"/>
      <x:c r="E102" s="8"/>
      <x:c r="F102" s="11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10" t="str">
        <x:f>IF(COUNTA(A102:P102)=0,"",IF(OR(A102="",B102="",C102="",D102="",E102="",G102="",H102="",I102="",J102="",K102="",L102="",M102="",N102=""),"缺必填",IF(COUNTIF($A$2:$A$201,A102)&gt;1,"ID重复",IF(COUNTIF('任务登记'!$A$2:$A$201,B102)&lt;&gt;1,"任务ID无效",IF(AND(ISBLANK(F102),P102=""),"缺金额说明",IF(AND(NOT(ISBLANK(F102)),OR(NOT(ISNUMBER(F102)),F102&lt;0)),"金额须为非负数","字段齐备"))))))</x:f>
      </x:c>
    </x:row>
    <x:row r="103" ht="32" customHeight="1">
      <x:c r="A103" s="8"/>
      <x:c r="B103" s="8"/>
      <x:c r="C103" s="8"/>
      <x:c r="D103" s="8"/>
      <x:c r="E103" s="8"/>
      <x:c r="F103" s="11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10" t="str">
        <x:f>IF(COUNTA(A103:P103)=0,"",IF(OR(A103="",B103="",C103="",D103="",E103="",G103="",H103="",I103="",J103="",K103="",L103="",M103="",N103=""),"缺必填",IF(COUNTIF($A$2:$A$201,A103)&gt;1,"ID重复",IF(COUNTIF('任务登记'!$A$2:$A$201,B103)&lt;&gt;1,"任务ID无效",IF(AND(ISBLANK(F103),P103=""),"缺金额说明",IF(AND(NOT(ISBLANK(F103)),OR(NOT(ISNUMBER(F103)),F103&lt;0)),"金额须为非负数","字段齐备"))))))</x:f>
      </x:c>
    </x:row>
    <x:row r="104" ht="32" customHeight="1">
      <x:c r="A104" s="8"/>
      <x:c r="B104" s="8"/>
      <x:c r="C104" s="8"/>
      <x:c r="D104" s="8"/>
      <x:c r="E104" s="8"/>
      <x:c r="F104" s="11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10" t="str">
        <x:f>IF(COUNTA(A104:P104)=0,"",IF(OR(A104="",B104="",C104="",D104="",E104="",G104="",H104="",I104="",J104="",K104="",L104="",M104="",N104=""),"缺必填",IF(COUNTIF($A$2:$A$201,A104)&gt;1,"ID重复",IF(COUNTIF('任务登记'!$A$2:$A$201,B104)&lt;&gt;1,"任务ID无效",IF(AND(ISBLANK(F104),P104=""),"缺金额说明",IF(AND(NOT(ISBLANK(F104)),OR(NOT(ISNUMBER(F104)),F104&lt;0)),"金额须为非负数","字段齐备"))))))</x:f>
      </x:c>
    </x:row>
    <x:row r="105" ht="32" customHeight="1">
      <x:c r="A105" s="8"/>
      <x:c r="B105" s="8"/>
      <x:c r="C105" s="8"/>
      <x:c r="D105" s="8"/>
      <x:c r="E105" s="8"/>
      <x:c r="F105" s="11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10" t="str">
        <x:f>IF(COUNTA(A105:P105)=0,"",IF(OR(A105="",B105="",C105="",D105="",E105="",G105="",H105="",I105="",J105="",K105="",L105="",M105="",N105=""),"缺必填",IF(COUNTIF($A$2:$A$201,A105)&gt;1,"ID重复",IF(COUNTIF('任务登记'!$A$2:$A$201,B105)&lt;&gt;1,"任务ID无效",IF(AND(ISBLANK(F105),P105=""),"缺金额说明",IF(AND(NOT(ISBLANK(F105)),OR(NOT(ISNUMBER(F105)),F105&lt;0)),"金额须为非负数","字段齐备"))))))</x:f>
      </x:c>
    </x:row>
    <x:row r="106" ht="32" customHeight="1">
      <x:c r="A106" s="8"/>
      <x:c r="B106" s="8"/>
      <x:c r="C106" s="8"/>
      <x:c r="D106" s="8"/>
      <x:c r="E106" s="8"/>
      <x:c r="F106" s="11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10" t="str">
        <x:f>IF(COUNTA(A106:P106)=0,"",IF(OR(A106="",B106="",C106="",D106="",E106="",G106="",H106="",I106="",J106="",K106="",L106="",M106="",N106=""),"缺必填",IF(COUNTIF($A$2:$A$201,A106)&gt;1,"ID重复",IF(COUNTIF('任务登记'!$A$2:$A$201,B106)&lt;&gt;1,"任务ID无效",IF(AND(ISBLANK(F106),P106=""),"缺金额说明",IF(AND(NOT(ISBLANK(F106)),OR(NOT(ISNUMBER(F106)),F106&lt;0)),"金额须为非负数","字段齐备"))))))</x:f>
      </x:c>
    </x:row>
    <x:row r="107" ht="32" customHeight="1">
      <x:c r="A107" s="8"/>
      <x:c r="B107" s="8"/>
      <x:c r="C107" s="8"/>
      <x:c r="D107" s="8"/>
      <x:c r="E107" s="8"/>
      <x:c r="F107" s="11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10" t="str">
        <x:f>IF(COUNTA(A107:P107)=0,"",IF(OR(A107="",B107="",C107="",D107="",E107="",G107="",H107="",I107="",J107="",K107="",L107="",M107="",N107=""),"缺必填",IF(COUNTIF($A$2:$A$201,A107)&gt;1,"ID重复",IF(COUNTIF('任务登记'!$A$2:$A$201,B107)&lt;&gt;1,"任务ID无效",IF(AND(ISBLANK(F107),P107=""),"缺金额说明",IF(AND(NOT(ISBLANK(F107)),OR(NOT(ISNUMBER(F107)),F107&lt;0)),"金额须为非负数","字段齐备"))))))</x:f>
      </x:c>
    </x:row>
    <x:row r="108" ht="32" customHeight="1">
      <x:c r="A108" s="8"/>
      <x:c r="B108" s="8"/>
      <x:c r="C108" s="8"/>
      <x:c r="D108" s="8"/>
      <x:c r="E108" s="8"/>
      <x:c r="F108" s="11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10" t="str">
        <x:f>IF(COUNTA(A108:P108)=0,"",IF(OR(A108="",B108="",C108="",D108="",E108="",G108="",H108="",I108="",J108="",K108="",L108="",M108="",N108=""),"缺必填",IF(COUNTIF($A$2:$A$201,A108)&gt;1,"ID重复",IF(COUNTIF('任务登记'!$A$2:$A$201,B108)&lt;&gt;1,"任务ID无效",IF(AND(ISBLANK(F108),P108=""),"缺金额说明",IF(AND(NOT(ISBLANK(F108)),OR(NOT(ISNUMBER(F108)),F108&lt;0)),"金额须为非负数","字段齐备"))))))</x:f>
      </x:c>
    </x:row>
    <x:row r="109" ht="32" customHeight="1">
      <x:c r="A109" s="8"/>
      <x:c r="B109" s="8"/>
      <x:c r="C109" s="8"/>
      <x:c r="D109" s="8"/>
      <x:c r="E109" s="8"/>
      <x:c r="F109" s="11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10" t="str">
        <x:f>IF(COUNTA(A109:P109)=0,"",IF(OR(A109="",B109="",C109="",D109="",E109="",G109="",H109="",I109="",J109="",K109="",L109="",M109="",N109=""),"缺必填",IF(COUNTIF($A$2:$A$201,A109)&gt;1,"ID重复",IF(COUNTIF('任务登记'!$A$2:$A$201,B109)&lt;&gt;1,"任务ID无效",IF(AND(ISBLANK(F109),P109=""),"缺金额说明",IF(AND(NOT(ISBLANK(F109)),OR(NOT(ISNUMBER(F109)),F109&lt;0)),"金额须为非负数","字段齐备"))))))</x:f>
      </x:c>
    </x:row>
    <x:row r="110" ht="32" customHeight="1">
      <x:c r="A110" s="8"/>
      <x:c r="B110" s="8"/>
      <x:c r="C110" s="8"/>
      <x:c r="D110" s="8"/>
      <x:c r="E110" s="8"/>
      <x:c r="F110" s="11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10" t="str">
        <x:f>IF(COUNTA(A110:P110)=0,"",IF(OR(A110="",B110="",C110="",D110="",E110="",G110="",H110="",I110="",J110="",K110="",L110="",M110="",N110=""),"缺必填",IF(COUNTIF($A$2:$A$201,A110)&gt;1,"ID重复",IF(COUNTIF('任务登记'!$A$2:$A$201,B110)&lt;&gt;1,"任务ID无效",IF(AND(ISBLANK(F110),P110=""),"缺金额说明",IF(AND(NOT(ISBLANK(F110)),OR(NOT(ISNUMBER(F110)),F110&lt;0)),"金额须为非负数","字段齐备"))))))</x:f>
      </x:c>
    </x:row>
    <x:row r="111" ht="32" customHeight="1">
      <x:c r="A111" s="8"/>
      <x:c r="B111" s="8"/>
      <x:c r="C111" s="8"/>
      <x:c r="D111" s="8"/>
      <x:c r="E111" s="8"/>
      <x:c r="F111" s="11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10" t="str">
        <x:f>IF(COUNTA(A111:P111)=0,"",IF(OR(A111="",B111="",C111="",D111="",E111="",G111="",H111="",I111="",J111="",K111="",L111="",M111="",N111=""),"缺必填",IF(COUNTIF($A$2:$A$201,A111)&gt;1,"ID重复",IF(COUNTIF('任务登记'!$A$2:$A$201,B111)&lt;&gt;1,"任务ID无效",IF(AND(ISBLANK(F111),P111=""),"缺金额说明",IF(AND(NOT(ISBLANK(F111)),OR(NOT(ISNUMBER(F111)),F111&lt;0)),"金额须为非负数","字段齐备"))))))</x:f>
      </x:c>
    </x:row>
    <x:row r="112" ht="32" customHeight="1">
      <x:c r="A112" s="8"/>
      <x:c r="B112" s="8"/>
      <x:c r="C112" s="8"/>
      <x:c r="D112" s="8"/>
      <x:c r="E112" s="8"/>
      <x:c r="F112" s="11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10" t="str">
        <x:f>IF(COUNTA(A112:P112)=0,"",IF(OR(A112="",B112="",C112="",D112="",E112="",G112="",H112="",I112="",J112="",K112="",L112="",M112="",N112=""),"缺必填",IF(COUNTIF($A$2:$A$201,A112)&gt;1,"ID重复",IF(COUNTIF('任务登记'!$A$2:$A$201,B112)&lt;&gt;1,"任务ID无效",IF(AND(ISBLANK(F112),P112=""),"缺金额说明",IF(AND(NOT(ISBLANK(F112)),OR(NOT(ISNUMBER(F112)),F112&lt;0)),"金额须为非负数","字段齐备"))))))</x:f>
      </x:c>
    </x:row>
    <x:row r="113" ht="32" customHeight="1">
      <x:c r="A113" s="8"/>
      <x:c r="B113" s="8"/>
      <x:c r="C113" s="8"/>
      <x:c r="D113" s="8"/>
      <x:c r="E113" s="8"/>
      <x:c r="F113" s="11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10" t="str">
        <x:f>IF(COUNTA(A113:P113)=0,"",IF(OR(A113="",B113="",C113="",D113="",E113="",G113="",H113="",I113="",J113="",K113="",L113="",M113="",N113=""),"缺必填",IF(COUNTIF($A$2:$A$201,A113)&gt;1,"ID重复",IF(COUNTIF('任务登记'!$A$2:$A$201,B113)&lt;&gt;1,"任务ID无效",IF(AND(ISBLANK(F113),P113=""),"缺金额说明",IF(AND(NOT(ISBLANK(F113)),OR(NOT(ISNUMBER(F113)),F113&lt;0)),"金额须为非负数","字段齐备"))))))</x:f>
      </x:c>
    </x:row>
    <x:row r="114" ht="32" customHeight="1">
      <x:c r="A114" s="8"/>
      <x:c r="B114" s="8"/>
      <x:c r="C114" s="8"/>
      <x:c r="D114" s="8"/>
      <x:c r="E114" s="8"/>
      <x:c r="F114" s="11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10" t="str">
        <x:f>IF(COUNTA(A114:P114)=0,"",IF(OR(A114="",B114="",C114="",D114="",E114="",G114="",H114="",I114="",J114="",K114="",L114="",M114="",N114=""),"缺必填",IF(COUNTIF($A$2:$A$201,A114)&gt;1,"ID重复",IF(COUNTIF('任务登记'!$A$2:$A$201,B114)&lt;&gt;1,"任务ID无效",IF(AND(ISBLANK(F114),P114=""),"缺金额说明",IF(AND(NOT(ISBLANK(F114)),OR(NOT(ISNUMBER(F114)),F114&lt;0)),"金额须为非负数","字段齐备"))))))</x:f>
      </x:c>
    </x:row>
    <x:row r="115" ht="32" customHeight="1">
      <x:c r="A115" s="8"/>
      <x:c r="B115" s="8"/>
      <x:c r="C115" s="8"/>
      <x:c r="D115" s="8"/>
      <x:c r="E115" s="8"/>
      <x:c r="F115" s="11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10" t="str">
        <x:f>IF(COUNTA(A115:P115)=0,"",IF(OR(A115="",B115="",C115="",D115="",E115="",G115="",H115="",I115="",J115="",K115="",L115="",M115="",N115=""),"缺必填",IF(COUNTIF($A$2:$A$201,A115)&gt;1,"ID重复",IF(COUNTIF('任务登记'!$A$2:$A$201,B115)&lt;&gt;1,"任务ID无效",IF(AND(ISBLANK(F115),P115=""),"缺金额说明",IF(AND(NOT(ISBLANK(F115)),OR(NOT(ISNUMBER(F115)),F115&lt;0)),"金额须为非负数","字段齐备"))))))</x:f>
      </x:c>
    </x:row>
    <x:row r="116" ht="32" customHeight="1">
      <x:c r="A116" s="8"/>
      <x:c r="B116" s="8"/>
      <x:c r="C116" s="8"/>
      <x:c r="D116" s="8"/>
      <x:c r="E116" s="8"/>
      <x:c r="F116" s="11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10" t="str">
        <x:f>IF(COUNTA(A116:P116)=0,"",IF(OR(A116="",B116="",C116="",D116="",E116="",G116="",H116="",I116="",J116="",K116="",L116="",M116="",N116=""),"缺必填",IF(COUNTIF($A$2:$A$201,A116)&gt;1,"ID重复",IF(COUNTIF('任务登记'!$A$2:$A$201,B116)&lt;&gt;1,"任务ID无效",IF(AND(ISBLANK(F116),P116=""),"缺金额说明",IF(AND(NOT(ISBLANK(F116)),OR(NOT(ISNUMBER(F116)),F116&lt;0)),"金额须为非负数","字段齐备"))))))</x:f>
      </x:c>
    </x:row>
    <x:row r="117" ht="32" customHeight="1">
      <x:c r="A117" s="8"/>
      <x:c r="B117" s="8"/>
      <x:c r="C117" s="8"/>
      <x:c r="D117" s="8"/>
      <x:c r="E117" s="8"/>
      <x:c r="F117" s="11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10" t="str">
        <x:f>IF(COUNTA(A117:P117)=0,"",IF(OR(A117="",B117="",C117="",D117="",E117="",G117="",H117="",I117="",J117="",K117="",L117="",M117="",N117=""),"缺必填",IF(COUNTIF($A$2:$A$201,A117)&gt;1,"ID重复",IF(COUNTIF('任务登记'!$A$2:$A$201,B117)&lt;&gt;1,"任务ID无效",IF(AND(ISBLANK(F117),P117=""),"缺金额说明",IF(AND(NOT(ISBLANK(F117)),OR(NOT(ISNUMBER(F117)),F117&lt;0)),"金额须为非负数","字段齐备"))))))</x:f>
      </x:c>
    </x:row>
    <x:row r="118" ht="32" customHeight="1">
      <x:c r="A118" s="8"/>
      <x:c r="B118" s="8"/>
      <x:c r="C118" s="8"/>
      <x:c r="D118" s="8"/>
      <x:c r="E118" s="8"/>
      <x:c r="F118" s="11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10" t="str">
        <x:f>IF(COUNTA(A118:P118)=0,"",IF(OR(A118="",B118="",C118="",D118="",E118="",G118="",H118="",I118="",J118="",K118="",L118="",M118="",N118=""),"缺必填",IF(COUNTIF($A$2:$A$201,A118)&gt;1,"ID重复",IF(COUNTIF('任务登记'!$A$2:$A$201,B118)&lt;&gt;1,"任务ID无效",IF(AND(ISBLANK(F118),P118=""),"缺金额说明",IF(AND(NOT(ISBLANK(F118)),OR(NOT(ISNUMBER(F118)),F118&lt;0)),"金额须为非负数","字段齐备"))))))</x:f>
      </x:c>
    </x:row>
    <x:row r="119" ht="32" customHeight="1">
      <x:c r="A119" s="8"/>
      <x:c r="B119" s="8"/>
      <x:c r="C119" s="8"/>
      <x:c r="D119" s="8"/>
      <x:c r="E119" s="8"/>
      <x:c r="F119" s="11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10" t="str">
        <x:f>IF(COUNTA(A119:P119)=0,"",IF(OR(A119="",B119="",C119="",D119="",E119="",G119="",H119="",I119="",J119="",K119="",L119="",M119="",N119=""),"缺必填",IF(COUNTIF($A$2:$A$201,A119)&gt;1,"ID重复",IF(COUNTIF('任务登记'!$A$2:$A$201,B119)&lt;&gt;1,"任务ID无效",IF(AND(ISBLANK(F119),P119=""),"缺金额说明",IF(AND(NOT(ISBLANK(F119)),OR(NOT(ISNUMBER(F119)),F119&lt;0)),"金额须为非负数","字段齐备"))))))</x:f>
      </x:c>
    </x:row>
    <x:row r="120" ht="32" customHeight="1">
      <x:c r="A120" s="8"/>
      <x:c r="B120" s="8"/>
      <x:c r="C120" s="8"/>
      <x:c r="D120" s="8"/>
      <x:c r="E120" s="8"/>
      <x:c r="F120" s="11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10" t="str">
        <x:f>IF(COUNTA(A120:P120)=0,"",IF(OR(A120="",B120="",C120="",D120="",E120="",G120="",H120="",I120="",J120="",K120="",L120="",M120="",N120=""),"缺必填",IF(COUNTIF($A$2:$A$201,A120)&gt;1,"ID重复",IF(COUNTIF('任务登记'!$A$2:$A$201,B120)&lt;&gt;1,"任务ID无效",IF(AND(ISBLANK(F120),P120=""),"缺金额说明",IF(AND(NOT(ISBLANK(F120)),OR(NOT(ISNUMBER(F120)),F120&lt;0)),"金额须为非负数","字段齐备"))))))</x:f>
      </x:c>
    </x:row>
    <x:row r="121" ht="32" customHeight="1">
      <x:c r="A121" s="8"/>
      <x:c r="B121" s="8"/>
      <x:c r="C121" s="8"/>
      <x:c r="D121" s="8"/>
      <x:c r="E121" s="8"/>
      <x:c r="F121" s="11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10" t="str">
        <x:f>IF(COUNTA(A121:P121)=0,"",IF(OR(A121="",B121="",C121="",D121="",E121="",G121="",H121="",I121="",J121="",K121="",L121="",M121="",N121=""),"缺必填",IF(COUNTIF($A$2:$A$201,A121)&gt;1,"ID重复",IF(COUNTIF('任务登记'!$A$2:$A$201,B121)&lt;&gt;1,"任务ID无效",IF(AND(ISBLANK(F121),P121=""),"缺金额说明",IF(AND(NOT(ISBLANK(F121)),OR(NOT(ISNUMBER(F121)),F121&lt;0)),"金额须为非负数","字段齐备"))))))</x:f>
      </x:c>
    </x:row>
    <x:row r="122" ht="32" customHeight="1">
      <x:c r="A122" s="8"/>
      <x:c r="B122" s="8"/>
      <x:c r="C122" s="8"/>
      <x:c r="D122" s="8"/>
      <x:c r="E122" s="8"/>
      <x:c r="F122" s="11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10" t="str">
        <x:f>IF(COUNTA(A122:P122)=0,"",IF(OR(A122="",B122="",C122="",D122="",E122="",G122="",H122="",I122="",J122="",K122="",L122="",M122="",N122=""),"缺必填",IF(COUNTIF($A$2:$A$201,A122)&gt;1,"ID重复",IF(COUNTIF('任务登记'!$A$2:$A$201,B122)&lt;&gt;1,"任务ID无效",IF(AND(ISBLANK(F122),P122=""),"缺金额说明",IF(AND(NOT(ISBLANK(F122)),OR(NOT(ISNUMBER(F122)),F122&lt;0)),"金额须为非负数","字段齐备"))))))</x:f>
      </x:c>
    </x:row>
    <x:row r="123" ht="32" customHeight="1">
      <x:c r="A123" s="8"/>
      <x:c r="B123" s="8"/>
      <x:c r="C123" s="8"/>
      <x:c r="D123" s="8"/>
      <x:c r="E123" s="8"/>
      <x:c r="F123" s="11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10" t="str">
        <x:f>IF(COUNTA(A123:P123)=0,"",IF(OR(A123="",B123="",C123="",D123="",E123="",G123="",H123="",I123="",J123="",K123="",L123="",M123="",N123=""),"缺必填",IF(COUNTIF($A$2:$A$201,A123)&gt;1,"ID重复",IF(COUNTIF('任务登记'!$A$2:$A$201,B123)&lt;&gt;1,"任务ID无效",IF(AND(ISBLANK(F123),P123=""),"缺金额说明",IF(AND(NOT(ISBLANK(F123)),OR(NOT(ISNUMBER(F123)),F123&lt;0)),"金额须为非负数","字段齐备"))))))</x:f>
      </x:c>
    </x:row>
    <x:row r="124" ht="32" customHeight="1">
      <x:c r="A124" s="8"/>
      <x:c r="B124" s="8"/>
      <x:c r="C124" s="8"/>
      <x:c r="D124" s="8"/>
      <x:c r="E124" s="8"/>
      <x:c r="F124" s="11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10" t="str">
        <x:f>IF(COUNTA(A124:P124)=0,"",IF(OR(A124="",B124="",C124="",D124="",E124="",G124="",H124="",I124="",J124="",K124="",L124="",M124="",N124=""),"缺必填",IF(COUNTIF($A$2:$A$201,A124)&gt;1,"ID重复",IF(COUNTIF('任务登记'!$A$2:$A$201,B124)&lt;&gt;1,"任务ID无效",IF(AND(ISBLANK(F124),P124=""),"缺金额说明",IF(AND(NOT(ISBLANK(F124)),OR(NOT(ISNUMBER(F124)),F124&lt;0)),"金额须为非负数","字段齐备"))))))</x:f>
      </x:c>
    </x:row>
    <x:row r="125" ht="32" customHeight="1">
      <x:c r="A125" s="8"/>
      <x:c r="B125" s="8"/>
      <x:c r="C125" s="8"/>
      <x:c r="D125" s="8"/>
      <x:c r="E125" s="8"/>
      <x:c r="F125" s="11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10" t="str">
        <x:f>IF(COUNTA(A125:P125)=0,"",IF(OR(A125="",B125="",C125="",D125="",E125="",G125="",H125="",I125="",J125="",K125="",L125="",M125="",N125=""),"缺必填",IF(COUNTIF($A$2:$A$201,A125)&gt;1,"ID重复",IF(COUNTIF('任务登记'!$A$2:$A$201,B125)&lt;&gt;1,"任务ID无效",IF(AND(ISBLANK(F125),P125=""),"缺金额说明",IF(AND(NOT(ISBLANK(F125)),OR(NOT(ISNUMBER(F125)),F125&lt;0)),"金额须为非负数","字段齐备"))))))</x:f>
      </x:c>
    </x:row>
    <x:row r="126" ht="32" customHeight="1">
      <x:c r="A126" s="8"/>
      <x:c r="B126" s="8"/>
      <x:c r="C126" s="8"/>
      <x:c r="D126" s="8"/>
      <x:c r="E126" s="8"/>
      <x:c r="F126" s="11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10" t="str">
        <x:f>IF(COUNTA(A126:P126)=0,"",IF(OR(A126="",B126="",C126="",D126="",E126="",G126="",H126="",I126="",J126="",K126="",L126="",M126="",N126=""),"缺必填",IF(COUNTIF($A$2:$A$201,A126)&gt;1,"ID重复",IF(COUNTIF('任务登记'!$A$2:$A$201,B126)&lt;&gt;1,"任务ID无效",IF(AND(ISBLANK(F126),P126=""),"缺金额说明",IF(AND(NOT(ISBLANK(F126)),OR(NOT(ISNUMBER(F126)),F126&lt;0)),"金额须为非负数","字段齐备"))))))</x:f>
      </x:c>
    </x:row>
    <x:row r="127" ht="32" customHeight="1">
      <x:c r="A127" s="8"/>
      <x:c r="B127" s="8"/>
      <x:c r="C127" s="8"/>
      <x:c r="D127" s="8"/>
      <x:c r="E127" s="8"/>
      <x:c r="F127" s="11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10" t="str">
        <x:f>IF(COUNTA(A127:P127)=0,"",IF(OR(A127="",B127="",C127="",D127="",E127="",G127="",H127="",I127="",J127="",K127="",L127="",M127="",N127=""),"缺必填",IF(COUNTIF($A$2:$A$201,A127)&gt;1,"ID重复",IF(COUNTIF('任务登记'!$A$2:$A$201,B127)&lt;&gt;1,"任务ID无效",IF(AND(ISBLANK(F127),P127=""),"缺金额说明",IF(AND(NOT(ISBLANK(F127)),OR(NOT(ISNUMBER(F127)),F127&lt;0)),"金额须为非负数","字段齐备"))))))</x:f>
      </x:c>
    </x:row>
    <x:row r="128" ht="32" customHeight="1">
      <x:c r="A128" s="8"/>
      <x:c r="B128" s="8"/>
      <x:c r="C128" s="8"/>
      <x:c r="D128" s="8"/>
      <x:c r="E128" s="8"/>
      <x:c r="F128" s="11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10" t="str">
        <x:f>IF(COUNTA(A128:P128)=0,"",IF(OR(A128="",B128="",C128="",D128="",E128="",G128="",H128="",I128="",J128="",K128="",L128="",M128="",N128=""),"缺必填",IF(COUNTIF($A$2:$A$201,A128)&gt;1,"ID重复",IF(COUNTIF('任务登记'!$A$2:$A$201,B128)&lt;&gt;1,"任务ID无效",IF(AND(ISBLANK(F128),P128=""),"缺金额说明",IF(AND(NOT(ISBLANK(F128)),OR(NOT(ISNUMBER(F128)),F128&lt;0)),"金额须为非负数","字段齐备"))))))</x:f>
      </x:c>
    </x:row>
    <x:row r="129" ht="32" customHeight="1">
      <x:c r="A129" s="8"/>
      <x:c r="B129" s="8"/>
      <x:c r="C129" s="8"/>
      <x:c r="D129" s="8"/>
      <x:c r="E129" s="8"/>
      <x:c r="F129" s="11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10" t="str">
        <x:f>IF(COUNTA(A129:P129)=0,"",IF(OR(A129="",B129="",C129="",D129="",E129="",G129="",H129="",I129="",J129="",K129="",L129="",M129="",N129=""),"缺必填",IF(COUNTIF($A$2:$A$201,A129)&gt;1,"ID重复",IF(COUNTIF('任务登记'!$A$2:$A$201,B129)&lt;&gt;1,"任务ID无效",IF(AND(ISBLANK(F129),P129=""),"缺金额说明",IF(AND(NOT(ISBLANK(F129)),OR(NOT(ISNUMBER(F129)),F129&lt;0)),"金额须为非负数","字段齐备"))))))</x:f>
      </x:c>
    </x:row>
    <x:row r="130" ht="32" customHeight="1">
      <x:c r="A130" s="8"/>
      <x:c r="B130" s="8"/>
      <x:c r="C130" s="8"/>
      <x:c r="D130" s="8"/>
      <x:c r="E130" s="8"/>
      <x:c r="F130" s="11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10" t="str">
        <x:f>IF(COUNTA(A130:P130)=0,"",IF(OR(A130="",B130="",C130="",D130="",E130="",G130="",H130="",I130="",J130="",K130="",L130="",M130="",N130=""),"缺必填",IF(COUNTIF($A$2:$A$201,A130)&gt;1,"ID重复",IF(COUNTIF('任务登记'!$A$2:$A$201,B130)&lt;&gt;1,"任务ID无效",IF(AND(ISBLANK(F130),P130=""),"缺金额说明",IF(AND(NOT(ISBLANK(F130)),OR(NOT(ISNUMBER(F130)),F130&lt;0)),"金额须为非负数","字段齐备"))))))</x:f>
      </x:c>
    </x:row>
    <x:row r="131" ht="32" customHeight="1">
      <x:c r="A131" s="8"/>
      <x:c r="B131" s="8"/>
      <x:c r="C131" s="8"/>
      <x:c r="D131" s="8"/>
      <x:c r="E131" s="8"/>
      <x:c r="F131" s="11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10" t="str">
        <x:f>IF(COUNTA(A131:P131)=0,"",IF(OR(A131="",B131="",C131="",D131="",E131="",G131="",H131="",I131="",J131="",K131="",L131="",M131="",N131=""),"缺必填",IF(COUNTIF($A$2:$A$201,A131)&gt;1,"ID重复",IF(COUNTIF('任务登记'!$A$2:$A$201,B131)&lt;&gt;1,"任务ID无效",IF(AND(ISBLANK(F131),P131=""),"缺金额说明",IF(AND(NOT(ISBLANK(F131)),OR(NOT(ISNUMBER(F131)),F131&lt;0)),"金额须为非负数","字段齐备"))))))</x:f>
      </x:c>
    </x:row>
    <x:row r="132" ht="32" customHeight="1">
      <x:c r="A132" s="8"/>
      <x:c r="B132" s="8"/>
      <x:c r="C132" s="8"/>
      <x:c r="D132" s="8"/>
      <x:c r="E132" s="8"/>
      <x:c r="F132" s="11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10" t="str">
        <x:f>IF(COUNTA(A132:P132)=0,"",IF(OR(A132="",B132="",C132="",D132="",E132="",G132="",H132="",I132="",J132="",K132="",L132="",M132="",N132=""),"缺必填",IF(COUNTIF($A$2:$A$201,A132)&gt;1,"ID重复",IF(COUNTIF('任务登记'!$A$2:$A$201,B132)&lt;&gt;1,"任务ID无效",IF(AND(ISBLANK(F132),P132=""),"缺金额说明",IF(AND(NOT(ISBLANK(F132)),OR(NOT(ISNUMBER(F132)),F132&lt;0)),"金额须为非负数","字段齐备"))))))</x:f>
      </x:c>
    </x:row>
    <x:row r="133" ht="32" customHeight="1">
      <x:c r="A133" s="8"/>
      <x:c r="B133" s="8"/>
      <x:c r="C133" s="8"/>
      <x:c r="D133" s="8"/>
      <x:c r="E133" s="8"/>
      <x:c r="F133" s="11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10" t="str">
        <x:f>IF(COUNTA(A133:P133)=0,"",IF(OR(A133="",B133="",C133="",D133="",E133="",G133="",H133="",I133="",J133="",K133="",L133="",M133="",N133=""),"缺必填",IF(COUNTIF($A$2:$A$201,A133)&gt;1,"ID重复",IF(COUNTIF('任务登记'!$A$2:$A$201,B133)&lt;&gt;1,"任务ID无效",IF(AND(ISBLANK(F133),P133=""),"缺金额说明",IF(AND(NOT(ISBLANK(F133)),OR(NOT(ISNUMBER(F133)),F133&lt;0)),"金额须为非负数","字段齐备"))))))</x:f>
      </x:c>
    </x:row>
    <x:row r="134" ht="32" customHeight="1">
      <x:c r="A134" s="8"/>
      <x:c r="B134" s="8"/>
      <x:c r="C134" s="8"/>
      <x:c r="D134" s="8"/>
      <x:c r="E134" s="8"/>
      <x:c r="F134" s="11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10" t="str">
        <x:f>IF(COUNTA(A134:P134)=0,"",IF(OR(A134="",B134="",C134="",D134="",E134="",G134="",H134="",I134="",J134="",K134="",L134="",M134="",N134=""),"缺必填",IF(COUNTIF($A$2:$A$201,A134)&gt;1,"ID重复",IF(COUNTIF('任务登记'!$A$2:$A$201,B134)&lt;&gt;1,"任务ID无效",IF(AND(ISBLANK(F134),P134=""),"缺金额说明",IF(AND(NOT(ISBLANK(F134)),OR(NOT(ISNUMBER(F134)),F134&lt;0)),"金额须为非负数","字段齐备"))))))</x:f>
      </x:c>
    </x:row>
    <x:row r="135" ht="32" customHeight="1">
      <x:c r="A135" s="8"/>
      <x:c r="B135" s="8"/>
      <x:c r="C135" s="8"/>
      <x:c r="D135" s="8"/>
      <x:c r="E135" s="8"/>
      <x:c r="F135" s="11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10" t="str">
        <x:f>IF(COUNTA(A135:P135)=0,"",IF(OR(A135="",B135="",C135="",D135="",E135="",G135="",H135="",I135="",J135="",K135="",L135="",M135="",N135=""),"缺必填",IF(COUNTIF($A$2:$A$201,A135)&gt;1,"ID重复",IF(COUNTIF('任务登记'!$A$2:$A$201,B135)&lt;&gt;1,"任务ID无效",IF(AND(ISBLANK(F135),P135=""),"缺金额说明",IF(AND(NOT(ISBLANK(F135)),OR(NOT(ISNUMBER(F135)),F135&lt;0)),"金额须为非负数","字段齐备"))))))</x:f>
      </x:c>
    </x:row>
    <x:row r="136" ht="32" customHeight="1">
      <x:c r="A136" s="8"/>
      <x:c r="B136" s="8"/>
      <x:c r="C136" s="8"/>
      <x:c r="D136" s="8"/>
      <x:c r="E136" s="8"/>
      <x:c r="F136" s="11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10" t="str">
        <x:f>IF(COUNTA(A136:P136)=0,"",IF(OR(A136="",B136="",C136="",D136="",E136="",G136="",H136="",I136="",J136="",K136="",L136="",M136="",N136=""),"缺必填",IF(COUNTIF($A$2:$A$201,A136)&gt;1,"ID重复",IF(COUNTIF('任务登记'!$A$2:$A$201,B136)&lt;&gt;1,"任务ID无效",IF(AND(ISBLANK(F136),P136=""),"缺金额说明",IF(AND(NOT(ISBLANK(F136)),OR(NOT(ISNUMBER(F136)),F136&lt;0)),"金额须为非负数","字段齐备"))))))</x:f>
      </x:c>
    </x:row>
    <x:row r="137" ht="32" customHeight="1">
      <x:c r="A137" s="8"/>
      <x:c r="B137" s="8"/>
      <x:c r="C137" s="8"/>
      <x:c r="D137" s="8"/>
      <x:c r="E137" s="8"/>
      <x:c r="F137" s="11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10" t="str">
        <x:f>IF(COUNTA(A137:P137)=0,"",IF(OR(A137="",B137="",C137="",D137="",E137="",G137="",H137="",I137="",J137="",K137="",L137="",M137="",N137=""),"缺必填",IF(COUNTIF($A$2:$A$201,A137)&gt;1,"ID重复",IF(COUNTIF('任务登记'!$A$2:$A$201,B137)&lt;&gt;1,"任务ID无效",IF(AND(ISBLANK(F137),P137=""),"缺金额说明",IF(AND(NOT(ISBLANK(F137)),OR(NOT(ISNUMBER(F137)),F137&lt;0)),"金额须为非负数","字段齐备"))))))</x:f>
      </x:c>
    </x:row>
    <x:row r="138" ht="32" customHeight="1">
      <x:c r="A138" s="8"/>
      <x:c r="B138" s="8"/>
      <x:c r="C138" s="8"/>
      <x:c r="D138" s="8"/>
      <x:c r="E138" s="8"/>
      <x:c r="F138" s="11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10" t="str">
        <x:f>IF(COUNTA(A138:P138)=0,"",IF(OR(A138="",B138="",C138="",D138="",E138="",G138="",H138="",I138="",J138="",K138="",L138="",M138="",N138=""),"缺必填",IF(COUNTIF($A$2:$A$201,A138)&gt;1,"ID重复",IF(COUNTIF('任务登记'!$A$2:$A$201,B138)&lt;&gt;1,"任务ID无效",IF(AND(ISBLANK(F138),P138=""),"缺金额说明",IF(AND(NOT(ISBLANK(F138)),OR(NOT(ISNUMBER(F138)),F138&lt;0)),"金额须为非负数","字段齐备"))))))</x:f>
      </x:c>
    </x:row>
    <x:row r="139" ht="32" customHeight="1">
      <x:c r="A139" s="8"/>
      <x:c r="B139" s="8"/>
      <x:c r="C139" s="8"/>
      <x:c r="D139" s="8"/>
      <x:c r="E139" s="8"/>
      <x:c r="F139" s="11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10" t="str">
        <x:f>IF(COUNTA(A139:P139)=0,"",IF(OR(A139="",B139="",C139="",D139="",E139="",G139="",H139="",I139="",J139="",K139="",L139="",M139="",N139=""),"缺必填",IF(COUNTIF($A$2:$A$201,A139)&gt;1,"ID重复",IF(COUNTIF('任务登记'!$A$2:$A$201,B139)&lt;&gt;1,"任务ID无效",IF(AND(ISBLANK(F139),P139=""),"缺金额说明",IF(AND(NOT(ISBLANK(F139)),OR(NOT(ISNUMBER(F139)),F139&lt;0)),"金额须为非负数","字段齐备"))))))</x:f>
      </x:c>
    </x:row>
    <x:row r="140" ht="32" customHeight="1">
      <x:c r="A140" s="8"/>
      <x:c r="B140" s="8"/>
      <x:c r="C140" s="8"/>
      <x:c r="D140" s="8"/>
      <x:c r="E140" s="8"/>
      <x:c r="F140" s="11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10" t="str">
        <x:f>IF(COUNTA(A140:P140)=0,"",IF(OR(A140="",B140="",C140="",D140="",E140="",G140="",H140="",I140="",J140="",K140="",L140="",M140="",N140=""),"缺必填",IF(COUNTIF($A$2:$A$201,A140)&gt;1,"ID重复",IF(COUNTIF('任务登记'!$A$2:$A$201,B140)&lt;&gt;1,"任务ID无效",IF(AND(ISBLANK(F140),P140=""),"缺金额说明",IF(AND(NOT(ISBLANK(F140)),OR(NOT(ISNUMBER(F140)),F140&lt;0)),"金额须为非负数","字段齐备"))))))</x:f>
      </x:c>
    </x:row>
    <x:row r="141" ht="32" customHeight="1">
      <x:c r="A141" s="8"/>
      <x:c r="B141" s="8"/>
      <x:c r="C141" s="8"/>
      <x:c r="D141" s="8"/>
      <x:c r="E141" s="8"/>
      <x:c r="F141" s="11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10" t="str">
        <x:f>IF(COUNTA(A141:P141)=0,"",IF(OR(A141="",B141="",C141="",D141="",E141="",G141="",H141="",I141="",J141="",K141="",L141="",M141="",N141=""),"缺必填",IF(COUNTIF($A$2:$A$201,A141)&gt;1,"ID重复",IF(COUNTIF('任务登记'!$A$2:$A$201,B141)&lt;&gt;1,"任务ID无效",IF(AND(ISBLANK(F141),P141=""),"缺金额说明",IF(AND(NOT(ISBLANK(F141)),OR(NOT(ISNUMBER(F141)),F141&lt;0)),"金额须为非负数","字段齐备"))))))</x:f>
      </x:c>
    </x:row>
    <x:row r="142" ht="32" customHeight="1">
      <x:c r="A142" s="8"/>
      <x:c r="B142" s="8"/>
      <x:c r="C142" s="8"/>
      <x:c r="D142" s="8"/>
      <x:c r="E142" s="8"/>
      <x:c r="F142" s="11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10" t="str">
        <x:f>IF(COUNTA(A142:P142)=0,"",IF(OR(A142="",B142="",C142="",D142="",E142="",G142="",H142="",I142="",J142="",K142="",L142="",M142="",N142=""),"缺必填",IF(COUNTIF($A$2:$A$201,A142)&gt;1,"ID重复",IF(COUNTIF('任务登记'!$A$2:$A$201,B142)&lt;&gt;1,"任务ID无效",IF(AND(ISBLANK(F142),P142=""),"缺金额说明",IF(AND(NOT(ISBLANK(F142)),OR(NOT(ISNUMBER(F142)),F142&lt;0)),"金额须为非负数","字段齐备"))))))</x:f>
      </x:c>
    </x:row>
    <x:row r="143" ht="32" customHeight="1">
      <x:c r="A143" s="8"/>
      <x:c r="B143" s="8"/>
      <x:c r="C143" s="8"/>
      <x:c r="D143" s="8"/>
      <x:c r="E143" s="8"/>
      <x:c r="F143" s="11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10" t="str">
        <x:f>IF(COUNTA(A143:P143)=0,"",IF(OR(A143="",B143="",C143="",D143="",E143="",G143="",H143="",I143="",J143="",K143="",L143="",M143="",N143=""),"缺必填",IF(COUNTIF($A$2:$A$201,A143)&gt;1,"ID重复",IF(COUNTIF('任务登记'!$A$2:$A$201,B143)&lt;&gt;1,"任务ID无效",IF(AND(ISBLANK(F143),P143=""),"缺金额说明",IF(AND(NOT(ISBLANK(F143)),OR(NOT(ISNUMBER(F143)),F143&lt;0)),"金额须为非负数","字段齐备"))))))</x:f>
      </x:c>
    </x:row>
    <x:row r="144" ht="32" customHeight="1">
      <x:c r="A144" s="8"/>
      <x:c r="B144" s="8"/>
      <x:c r="C144" s="8"/>
      <x:c r="D144" s="8"/>
      <x:c r="E144" s="8"/>
      <x:c r="F144" s="11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10" t="str">
        <x:f>IF(COUNTA(A144:P144)=0,"",IF(OR(A144="",B144="",C144="",D144="",E144="",G144="",H144="",I144="",J144="",K144="",L144="",M144="",N144=""),"缺必填",IF(COUNTIF($A$2:$A$201,A144)&gt;1,"ID重复",IF(COUNTIF('任务登记'!$A$2:$A$201,B144)&lt;&gt;1,"任务ID无效",IF(AND(ISBLANK(F144),P144=""),"缺金额说明",IF(AND(NOT(ISBLANK(F144)),OR(NOT(ISNUMBER(F144)),F144&lt;0)),"金额须为非负数","字段齐备"))))))</x:f>
      </x:c>
    </x:row>
    <x:row r="145" ht="32" customHeight="1">
      <x:c r="A145" s="8"/>
      <x:c r="B145" s="8"/>
      <x:c r="C145" s="8"/>
      <x:c r="D145" s="8"/>
      <x:c r="E145" s="8"/>
      <x:c r="F145" s="11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10" t="str">
        <x:f>IF(COUNTA(A145:P145)=0,"",IF(OR(A145="",B145="",C145="",D145="",E145="",G145="",H145="",I145="",J145="",K145="",L145="",M145="",N145=""),"缺必填",IF(COUNTIF($A$2:$A$201,A145)&gt;1,"ID重复",IF(COUNTIF('任务登记'!$A$2:$A$201,B145)&lt;&gt;1,"任务ID无效",IF(AND(ISBLANK(F145),P145=""),"缺金额说明",IF(AND(NOT(ISBLANK(F145)),OR(NOT(ISNUMBER(F145)),F145&lt;0)),"金额须为非负数","字段齐备"))))))</x:f>
      </x:c>
    </x:row>
    <x:row r="146" ht="32" customHeight="1">
      <x:c r="A146" s="8"/>
      <x:c r="B146" s="8"/>
      <x:c r="C146" s="8"/>
      <x:c r="D146" s="8"/>
      <x:c r="E146" s="8"/>
      <x:c r="F146" s="11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10" t="str">
        <x:f>IF(COUNTA(A146:P146)=0,"",IF(OR(A146="",B146="",C146="",D146="",E146="",G146="",H146="",I146="",J146="",K146="",L146="",M146="",N146=""),"缺必填",IF(COUNTIF($A$2:$A$201,A146)&gt;1,"ID重复",IF(COUNTIF('任务登记'!$A$2:$A$201,B146)&lt;&gt;1,"任务ID无效",IF(AND(ISBLANK(F146),P146=""),"缺金额说明",IF(AND(NOT(ISBLANK(F146)),OR(NOT(ISNUMBER(F146)),F146&lt;0)),"金额须为非负数","字段齐备"))))))</x:f>
      </x:c>
    </x:row>
    <x:row r="147" ht="32" customHeight="1">
      <x:c r="A147" s="8"/>
      <x:c r="B147" s="8"/>
      <x:c r="C147" s="8"/>
      <x:c r="D147" s="8"/>
      <x:c r="E147" s="8"/>
      <x:c r="F147" s="11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10" t="str">
        <x:f>IF(COUNTA(A147:P147)=0,"",IF(OR(A147="",B147="",C147="",D147="",E147="",G147="",H147="",I147="",J147="",K147="",L147="",M147="",N147=""),"缺必填",IF(COUNTIF($A$2:$A$201,A147)&gt;1,"ID重复",IF(COUNTIF('任务登记'!$A$2:$A$201,B147)&lt;&gt;1,"任务ID无效",IF(AND(ISBLANK(F147),P147=""),"缺金额说明",IF(AND(NOT(ISBLANK(F147)),OR(NOT(ISNUMBER(F147)),F147&lt;0)),"金额须为非负数","字段齐备"))))))</x:f>
      </x:c>
    </x:row>
    <x:row r="148" ht="32" customHeight="1">
      <x:c r="A148" s="8"/>
      <x:c r="B148" s="8"/>
      <x:c r="C148" s="8"/>
      <x:c r="D148" s="8"/>
      <x:c r="E148" s="8"/>
      <x:c r="F148" s="11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10" t="str">
        <x:f>IF(COUNTA(A148:P148)=0,"",IF(OR(A148="",B148="",C148="",D148="",E148="",G148="",H148="",I148="",J148="",K148="",L148="",M148="",N148=""),"缺必填",IF(COUNTIF($A$2:$A$201,A148)&gt;1,"ID重复",IF(COUNTIF('任务登记'!$A$2:$A$201,B148)&lt;&gt;1,"任务ID无效",IF(AND(ISBLANK(F148),P148=""),"缺金额说明",IF(AND(NOT(ISBLANK(F148)),OR(NOT(ISNUMBER(F148)),F148&lt;0)),"金额须为非负数","字段齐备"))))))</x:f>
      </x:c>
    </x:row>
    <x:row r="149" ht="32" customHeight="1">
      <x:c r="A149" s="8"/>
      <x:c r="B149" s="8"/>
      <x:c r="C149" s="8"/>
      <x:c r="D149" s="8"/>
      <x:c r="E149" s="8"/>
      <x:c r="F149" s="11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10" t="str">
        <x:f>IF(COUNTA(A149:P149)=0,"",IF(OR(A149="",B149="",C149="",D149="",E149="",G149="",H149="",I149="",J149="",K149="",L149="",M149="",N149=""),"缺必填",IF(COUNTIF($A$2:$A$201,A149)&gt;1,"ID重复",IF(COUNTIF('任务登记'!$A$2:$A$201,B149)&lt;&gt;1,"任务ID无效",IF(AND(ISBLANK(F149),P149=""),"缺金额说明",IF(AND(NOT(ISBLANK(F149)),OR(NOT(ISNUMBER(F149)),F149&lt;0)),"金额须为非负数","字段齐备"))))))</x:f>
      </x:c>
    </x:row>
    <x:row r="150" ht="32" customHeight="1">
      <x:c r="A150" s="8"/>
      <x:c r="B150" s="8"/>
      <x:c r="C150" s="8"/>
      <x:c r="D150" s="8"/>
      <x:c r="E150" s="8"/>
      <x:c r="F150" s="11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10" t="str">
        <x:f>IF(COUNTA(A150:P150)=0,"",IF(OR(A150="",B150="",C150="",D150="",E150="",G150="",H150="",I150="",J150="",K150="",L150="",M150="",N150=""),"缺必填",IF(COUNTIF($A$2:$A$201,A150)&gt;1,"ID重复",IF(COUNTIF('任务登记'!$A$2:$A$201,B150)&lt;&gt;1,"任务ID无效",IF(AND(ISBLANK(F150),P150=""),"缺金额说明",IF(AND(NOT(ISBLANK(F150)),OR(NOT(ISNUMBER(F150)),F150&lt;0)),"金额须为非负数","字段齐备"))))))</x:f>
      </x:c>
    </x:row>
    <x:row r="151" ht="32" customHeight="1">
      <x:c r="A151" s="8"/>
      <x:c r="B151" s="8"/>
      <x:c r="C151" s="8"/>
      <x:c r="D151" s="8"/>
      <x:c r="E151" s="8"/>
      <x:c r="F151" s="11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10" t="str">
        <x:f>IF(COUNTA(A151:P151)=0,"",IF(OR(A151="",B151="",C151="",D151="",E151="",G151="",H151="",I151="",J151="",K151="",L151="",M151="",N151=""),"缺必填",IF(COUNTIF($A$2:$A$201,A151)&gt;1,"ID重复",IF(COUNTIF('任务登记'!$A$2:$A$201,B151)&lt;&gt;1,"任务ID无效",IF(AND(ISBLANK(F151),P151=""),"缺金额说明",IF(AND(NOT(ISBLANK(F151)),OR(NOT(ISNUMBER(F151)),F151&lt;0)),"金额须为非负数","字段齐备"))))))</x:f>
      </x:c>
    </x:row>
    <x:row r="152" ht="32" customHeight="1">
      <x:c r="A152" s="8"/>
      <x:c r="B152" s="8"/>
      <x:c r="C152" s="8"/>
      <x:c r="D152" s="8"/>
      <x:c r="E152" s="8"/>
      <x:c r="F152" s="11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10" t="str">
        <x:f>IF(COUNTA(A152:P152)=0,"",IF(OR(A152="",B152="",C152="",D152="",E152="",G152="",H152="",I152="",J152="",K152="",L152="",M152="",N152=""),"缺必填",IF(COUNTIF($A$2:$A$201,A152)&gt;1,"ID重复",IF(COUNTIF('任务登记'!$A$2:$A$201,B152)&lt;&gt;1,"任务ID无效",IF(AND(ISBLANK(F152),P152=""),"缺金额说明",IF(AND(NOT(ISBLANK(F152)),OR(NOT(ISNUMBER(F152)),F152&lt;0)),"金额须为非负数","字段齐备"))))))</x:f>
      </x:c>
    </x:row>
    <x:row r="153" ht="32" customHeight="1">
      <x:c r="A153" s="8"/>
      <x:c r="B153" s="8"/>
      <x:c r="C153" s="8"/>
      <x:c r="D153" s="8"/>
      <x:c r="E153" s="8"/>
      <x:c r="F153" s="11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10" t="str">
        <x:f>IF(COUNTA(A153:P153)=0,"",IF(OR(A153="",B153="",C153="",D153="",E153="",G153="",H153="",I153="",J153="",K153="",L153="",M153="",N153=""),"缺必填",IF(COUNTIF($A$2:$A$201,A153)&gt;1,"ID重复",IF(COUNTIF('任务登记'!$A$2:$A$201,B153)&lt;&gt;1,"任务ID无效",IF(AND(ISBLANK(F153),P153=""),"缺金额说明",IF(AND(NOT(ISBLANK(F153)),OR(NOT(ISNUMBER(F153)),F153&lt;0)),"金额须为非负数","字段齐备"))))))</x:f>
      </x:c>
    </x:row>
    <x:row r="154" ht="32" customHeight="1">
      <x:c r="A154" s="8"/>
      <x:c r="B154" s="8"/>
      <x:c r="C154" s="8"/>
      <x:c r="D154" s="8"/>
      <x:c r="E154" s="8"/>
      <x:c r="F154" s="11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10" t="str">
        <x:f>IF(COUNTA(A154:P154)=0,"",IF(OR(A154="",B154="",C154="",D154="",E154="",G154="",H154="",I154="",J154="",K154="",L154="",M154="",N154=""),"缺必填",IF(COUNTIF($A$2:$A$201,A154)&gt;1,"ID重复",IF(COUNTIF('任务登记'!$A$2:$A$201,B154)&lt;&gt;1,"任务ID无效",IF(AND(ISBLANK(F154),P154=""),"缺金额说明",IF(AND(NOT(ISBLANK(F154)),OR(NOT(ISNUMBER(F154)),F154&lt;0)),"金额须为非负数","字段齐备"))))))</x:f>
      </x:c>
    </x:row>
    <x:row r="155" ht="32" customHeight="1">
      <x:c r="A155" s="8"/>
      <x:c r="B155" s="8"/>
      <x:c r="C155" s="8"/>
      <x:c r="D155" s="8"/>
      <x:c r="E155" s="8"/>
      <x:c r="F155" s="11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10" t="str">
        <x:f>IF(COUNTA(A155:P155)=0,"",IF(OR(A155="",B155="",C155="",D155="",E155="",G155="",H155="",I155="",J155="",K155="",L155="",M155="",N155=""),"缺必填",IF(COUNTIF($A$2:$A$201,A155)&gt;1,"ID重复",IF(COUNTIF('任务登记'!$A$2:$A$201,B155)&lt;&gt;1,"任务ID无效",IF(AND(ISBLANK(F155),P155=""),"缺金额说明",IF(AND(NOT(ISBLANK(F155)),OR(NOT(ISNUMBER(F155)),F155&lt;0)),"金额须为非负数","字段齐备"))))))</x:f>
      </x:c>
    </x:row>
    <x:row r="156" ht="32" customHeight="1">
      <x:c r="A156" s="8"/>
      <x:c r="B156" s="8"/>
      <x:c r="C156" s="8"/>
      <x:c r="D156" s="8"/>
      <x:c r="E156" s="8"/>
      <x:c r="F156" s="11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10" t="str">
        <x:f>IF(COUNTA(A156:P156)=0,"",IF(OR(A156="",B156="",C156="",D156="",E156="",G156="",H156="",I156="",J156="",K156="",L156="",M156="",N156=""),"缺必填",IF(COUNTIF($A$2:$A$201,A156)&gt;1,"ID重复",IF(COUNTIF('任务登记'!$A$2:$A$201,B156)&lt;&gt;1,"任务ID无效",IF(AND(ISBLANK(F156),P156=""),"缺金额说明",IF(AND(NOT(ISBLANK(F156)),OR(NOT(ISNUMBER(F156)),F156&lt;0)),"金额须为非负数","字段齐备"))))))</x:f>
      </x:c>
    </x:row>
    <x:row r="157" ht="32" customHeight="1">
      <x:c r="A157" s="8"/>
      <x:c r="B157" s="8"/>
      <x:c r="C157" s="8"/>
      <x:c r="D157" s="8"/>
      <x:c r="E157" s="8"/>
      <x:c r="F157" s="11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10" t="str">
        <x:f>IF(COUNTA(A157:P157)=0,"",IF(OR(A157="",B157="",C157="",D157="",E157="",G157="",H157="",I157="",J157="",K157="",L157="",M157="",N157=""),"缺必填",IF(COUNTIF($A$2:$A$201,A157)&gt;1,"ID重复",IF(COUNTIF('任务登记'!$A$2:$A$201,B157)&lt;&gt;1,"任务ID无效",IF(AND(ISBLANK(F157),P157=""),"缺金额说明",IF(AND(NOT(ISBLANK(F157)),OR(NOT(ISNUMBER(F157)),F157&lt;0)),"金额须为非负数","字段齐备"))))))</x:f>
      </x:c>
    </x:row>
    <x:row r="158" ht="32" customHeight="1">
      <x:c r="A158" s="8"/>
      <x:c r="B158" s="8"/>
      <x:c r="C158" s="8"/>
      <x:c r="D158" s="8"/>
      <x:c r="E158" s="8"/>
      <x:c r="F158" s="11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10" t="str">
        <x:f>IF(COUNTA(A158:P158)=0,"",IF(OR(A158="",B158="",C158="",D158="",E158="",G158="",H158="",I158="",J158="",K158="",L158="",M158="",N158=""),"缺必填",IF(COUNTIF($A$2:$A$201,A158)&gt;1,"ID重复",IF(COUNTIF('任务登记'!$A$2:$A$201,B158)&lt;&gt;1,"任务ID无效",IF(AND(ISBLANK(F158),P158=""),"缺金额说明",IF(AND(NOT(ISBLANK(F158)),OR(NOT(ISNUMBER(F158)),F158&lt;0)),"金额须为非负数","字段齐备"))))))</x:f>
      </x:c>
    </x:row>
    <x:row r="159" ht="32" customHeight="1">
      <x:c r="A159" s="8"/>
      <x:c r="B159" s="8"/>
      <x:c r="C159" s="8"/>
      <x:c r="D159" s="8"/>
      <x:c r="E159" s="8"/>
      <x:c r="F159" s="11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10" t="str">
        <x:f>IF(COUNTA(A159:P159)=0,"",IF(OR(A159="",B159="",C159="",D159="",E159="",G159="",H159="",I159="",J159="",K159="",L159="",M159="",N159=""),"缺必填",IF(COUNTIF($A$2:$A$201,A159)&gt;1,"ID重复",IF(COUNTIF('任务登记'!$A$2:$A$201,B159)&lt;&gt;1,"任务ID无效",IF(AND(ISBLANK(F159),P159=""),"缺金额说明",IF(AND(NOT(ISBLANK(F159)),OR(NOT(ISNUMBER(F159)),F159&lt;0)),"金额须为非负数","字段齐备"))))))</x:f>
      </x:c>
    </x:row>
    <x:row r="160" ht="32" customHeight="1">
      <x:c r="A160" s="8"/>
      <x:c r="B160" s="8"/>
      <x:c r="C160" s="8"/>
      <x:c r="D160" s="8"/>
      <x:c r="E160" s="8"/>
      <x:c r="F160" s="11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10" t="str">
        <x:f>IF(COUNTA(A160:P160)=0,"",IF(OR(A160="",B160="",C160="",D160="",E160="",G160="",H160="",I160="",J160="",K160="",L160="",M160="",N160=""),"缺必填",IF(COUNTIF($A$2:$A$201,A160)&gt;1,"ID重复",IF(COUNTIF('任务登记'!$A$2:$A$201,B160)&lt;&gt;1,"任务ID无效",IF(AND(ISBLANK(F160),P160=""),"缺金额说明",IF(AND(NOT(ISBLANK(F160)),OR(NOT(ISNUMBER(F160)),F160&lt;0)),"金额须为非负数","字段齐备"))))))</x:f>
      </x:c>
    </x:row>
    <x:row r="161" ht="32" customHeight="1">
      <x:c r="A161" s="8"/>
      <x:c r="B161" s="8"/>
      <x:c r="C161" s="8"/>
      <x:c r="D161" s="8"/>
      <x:c r="E161" s="8"/>
      <x:c r="F161" s="11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10" t="str">
        <x:f>IF(COUNTA(A161:P161)=0,"",IF(OR(A161="",B161="",C161="",D161="",E161="",G161="",H161="",I161="",J161="",K161="",L161="",M161="",N161=""),"缺必填",IF(COUNTIF($A$2:$A$201,A161)&gt;1,"ID重复",IF(COUNTIF('任务登记'!$A$2:$A$201,B161)&lt;&gt;1,"任务ID无效",IF(AND(ISBLANK(F161),P161=""),"缺金额说明",IF(AND(NOT(ISBLANK(F161)),OR(NOT(ISNUMBER(F161)),F161&lt;0)),"金额须为非负数","字段齐备"))))))</x:f>
      </x:c>
    </x:row>
    <x:row r="162" ht="32" customHeight="1">
      <x:c r="A162" s="8"/>
      <x:c r="B162" s="8"/>
      <x:c r="C162" s="8"/>
      <x:c r="D162" s="8"/>
      <x:c r="E162" s="8"/>
      <x:c r="F162" s="11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10" t="str">
        <x:f>IF(COUNTA(A162:P162)=0,"",IF(OR(A162="",B162="",C162="",D162="",E162="",G162="",H162="",I162="",J162="",K162="",L162="",M162="",N162=""),"缺必填",IF(COUNTIF($A$2:$A$201,A162)&gt;1,"ID重复",IF(COUNTIF('任务登记'!$A$2:$A$201,B162)&lt;&gt;1,"任务ID无效",IF(AND(ISBLANK(F162),P162=""),"缺金额说明",IF(AND(NOT(ISBLANK(F162)),OR(NOT(ISNUMBER(F162)),F162&lt;0)),"金额须为非负数","字段齐备"))))))</x:f>
      </x:c>
    </x:row>
    <x:row r="163" ht="32" customHeight="1">
      <x:c r="A163" s="8"/>
      <x:c r="B163" s="8"/>
      <x:c r="C163" s="8"/>
      <x:c r="D163" s="8"/>
      <x:c r="E163" s="8"/>
      <x:c r="F163" s="11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10" t="str">
        <x:f>IF(COUNTA(A163:P163)=0,"",IF(OR(A163="",B163="",C163="",D163="",E163="",G163="",H163="",I163="",J163="",K163="",L163="",M163="",N163=""),"缺必填",IF(COUNTIF($A$2:$A$201,A163)&gt;1,"ID重复",IF(COUNTIF('任务登记'!$A$2:$A$201,B163)&lt;&gt;1,"任务ID无效",IF(AND(ISBLANK(F163),P163=""),"缺金额说明",IF(AND(NOT(ISBLANK(F163)),OR(NOT(ISNUMBER(F163)),F163&lt;0)),"金额须为非负数","字段齐备"))))))</x:f>
      </x:c>
    </x:row>
    <x:row r="164" ht="32" customHeight="1">
      <x:c r="A164" s="8"/>
      <x:c r="B164" s="8"/>
      <x:c r="C164" s="8"/>
      <x:c r="D164" s="8"/>
      <x:c r="E164" s="8"/>
      <x:c r="F164" s="11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10" t="str">
        <x:f>IF(COUNTA(A164:P164)=0,"",IF(OR(A164="",B164="",C164="",D164="",E164="",G164="",H164="",I164="",J164="",K164="",L164="",M164="",N164=""),"缺必填",IF(COUNTIF($A$2:$A$201,A164)&gt;1,"ID重复",IF(COUNTIF('任务登记'!$A$2:$A$201,B164)&lt;&gt;1,"任务ID无效",IF(AND(ISBLANK(F164),P164=""),"缺金额说明",IF(AND(NOT(ISBLANK(F164)),OR(NOT(ISNUMBER(F164)),F164&lt;0)),"金额须为非负数","字段齐备"))))))</x:f>
      </x:c>
    </x:row>
    <x:row r="165" ht="32" customHeight="1">
      <x:c r="A165" s="8"/>
      <x:c r="B165" s="8"/>
      <x:c r="C165" s="8"/>
      <x:c r="D165" s="8"/>
      <x:c r="E165" s="8"/>
      <x:c r="F165" s="11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10" t="str">
        <x:f>IF(COUNTA(A165:P165)=0,"",IF(OR(A165="",B165="",C165="",D165="",E165="",G165="",H165="",I165="",J165="",K165="",L165="",M165="",N165=""),"缺必填",IF(COUNTIF($A$2:$A$201,A165)&gt;1,"ID重复",IF(COUNTIF('任务登记'!$A$2:$A$201,B165)&lt;&gt;1,"任务ID无效",IF(AND(ISBLANK(F165),P165=""),"缺金额说明",IF(AND(NOT(ISBLANK(F165)),OR(NOT(ISNUMBER(F165)),F165&lt;0)),"金额须为非负数","字段齐备"))))))</x:f>
      </x:c>
    </x:row>
    <x:row r="166" ht="32" customHeight="1">
      <x:c r="A166" s="8"/>
      <x:c r="B166" s="8"/>
      <x:c r="C166" s="8"/>
      <x:c r="D166" s="8"/>
      <x:c r="E166" s="8"/>
      <x:c r="F166" s="11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10" t="str">
        <x:f>IF(COUNTA(A166:P166)=0,"",IF(OR(A166="",B166="",C166="",D166="",E166="",G166="",H166="",I166="",J166="",K166="",L166="",M166="",N166=""),"缺必填",IF(COUNTIF($A$2:$A$201,A166)&gt;1,"ID重复",IF(COUNTIF('任务登记'!$A$2:$A$201,B166)&lt;&gt;1,"任务ID无效",IF(AND(ISBLANK(F166),P166=""),"缺金额说明",IF(AND(NOT(ISBLANK(F166)),OR(NOT(ISNUMBER(F166)),F166&lt;0)),"金额须为非负数","字段齐备"))))))</x:f>
      </x:c>
    </x:row>
    <x:row r="167" ht="32" customHeight="1">
      <x:c r="A167" s="8"/>
      <x:c r="B167" s="8"/>
      <x:c r="C167" s="8"/>
      <x:c r="D167" s="8"/>
      <x:c r="E167" s="8"/>
      <x:c r="F167" s="11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10" t="str">
        <x:f>IF(COUNTA(A167:P167)=0,"",IF(OR(A167="",B167="",C167="",D167="",E167="",G167="",H167="",I167="",J167="",K167="",L167="",M167="",N167=""),"缺必填",IF(COUNTIF($A$2:$A$201,A167)&gt;1,"ID重复",IF(COUNTIF('任务登记'!$A$2:$A$201,B167)&lt;&gt;1,"任务ID无效",IF(AND(ISBLANK(F167),P167=""),"缺金额说明",IF(AND(NOT(ISBLANK(F167)),OR(NOT(ISNUMBER(F167)),F167&lt;0)),"金额须为非负数","字段齐备"))))))</x:f>
      </x:c>
    </x:row>
    <x:row r="168" ht="32" customHeight="1">
      <x:c r="A168" s="8"/>
      <x:c r="B168" s="8"/>
      <x:c r="C168" s="8"/>
      <x:c r="D168" s="8"/>
      <x:c r="E168" s="8"/>
      <x:c r="F168" s="11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10" t="str">
        <x:f>IF(COUNTA(A168:P168)=0,"",IF(OR(A168="",B168="",C168="",D168="",E168="",G168="",H168="",I168="",J168="",K168="",L168="",M168="",N168=""),"缺必填",IF(COUNTIF($A$2:$A$201,A168)&gt;1,"ID重复",IF(COUNTIF('任务登记'!$A$2:$A$201,B168)&lt;&gt;1,"任务ID无效",IF(AND(ISBLANK(F168),P168=""),"缺金额说明",IF(AND(NOT(ISBLANK(F168)),OR(NOT(ISNUMBER(F168)),F168&lt;0)),"金额须为非负数","字段齐备"))))))</x:f>
      </x:c>
    </x:row>
    <x:row r="169" ht="32" customHeight="1">
      <x:c r="A169" s="8"/>
      <x:c r="B169" s="8"/>
      <x:c r="C169" s="8"/>
      <x:c r="D169" s="8"/>
      <x:c r="E169" s="8"/>
      <x:c r="F169" s="11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10" t="str">
        <x:f>IF(COUNTA(A169:P169)=0,"",IF(OR(A169="",B169="",C169="",D169="",E169="",G169="",H169="",I169="",J169="",K169="",L169="",M169="",N169=""),"缺必填",IF(COUNTIF($A$2:$A$201,A169)&gt;1,"ID重复",IF(COUNTIF('任务登记'!$A$2:$A$201,B169)&lt;&gt;1,"任务ID无效",IF(AND(ISBLANK(F169),P169=""),"缺金额说明",IF(AND(NOT(ISBLANK(F169)),OR(NOT(ISNUMBER(F169)),F169&lt;0)),"金额须为非负数","字段齐备"))))))</x:f>
      </x:c>
    </x:row>
    <x:row r="170" ht="32" customHeight="1">
      <x:c r="A170" s="8"/>
      <x:c r="B170" s="8"/>
      <x:c r="C170" s="8"/>
      <x:c r="D170" s="8"/>
      <x:c r="E170" s="8"/>
      <x:c r="F170" s="11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10" t="str">
        <x:f>IF(COUNTA(A170:P170)=0,"",IF(OR(A170="",B170="",C170="",D170="",E170="",G170="",H170="",I170="",J170="",K170="",L170="",M170="",N170=""),"缺必填",IF(COUNTIF($A$2:$A$201,A170)&gt;1,"ID重复",IF(COUNTIF('任务登记'!$A$2:$A$201,B170)&lt;&gt;1,"任务ID无效",IF(AND(ISBLANK(F170),P170=""),"缺金额说明",IF(AND(NOT(ISBLANK(F170)),OR(NOT(ISNUMBER(F170)),F170&lt;0)),"金额须为非负数","字段齐备"))))))</x:f>
      </x:c>
    </x:row>
    <x:row r="171" ht="32" customHeight="1">
      <x:c r="A171" s="8"/>
      <x:c r="B171" s="8"/>
      <x:c r="C171" s="8"/>
      <x:c r="D171" s="8"/>
      <x:c r="E171" s="8"/>
      <x:c r="F171" s="11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10" t="str">
        <x:f>IF(COUNTA(A171:P171)=0,"",IF(OR(A171="",B171="",C171="",D171="",E171="",G171="",H171="",I171="",J171="",K171="",L171="",M171="",N171=""),"缺必填",IF(COUNTIF($A$2:$A$201,A171)&gt;1,"ID重复",IF(COUNTIF('任务登记'!$A$2:$A$201,B171)&lt;&gt;1,"任务ID无效",IF(AND(ISBLANK(F171),P171=""),"缺金额说明",IF(AND(NOT(ISBLANK(F171)),OR(NOT(ISNUMBER(F171)),F171&lt;0)),"金额须为非负数","字段齐备"))))))</x:f>
      </x:c>
    </x:row>
    <x:row r="172" ht="32" customHeight="1">
      <x:c r="A172" s="8"/>
      <x:c r="B172" s="8"/>
      <x:c r="C172" s="8"/>
      <x:c r="D172" s="8"/>
      <x:c r="E172" s="8"/>
      <x:c r="F172" s="11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10" t="str">
        <x:f>IF(COUNTA(A172:P172)=0,"",IF(OR(A172="",B172="",C172="",D172="",E172="",G172="",H172="",I172="",J172="",K172="",L172="",M172="",N172=""),"缺必填",IF(COUNTIF($A$2:$A$201,A172)&gt;1,"ID重复",IF(COUNTIF('任务登记'!$A$2:$A$201,B172)&lt;&gt;1,"任务ID无效",IF(AND(ISBLANK(F172),P172=""),"缺金额说明",IF(AND(NOT(ISBLANK(F172)),OR(NOT(ISNUMBER(F172)),F172&lt;0)),"金额须为非负数","字段齐备"))))))</x:f>
      </x:c>
    </x:row>
    <x:row r="173" ht="32" customHeight="1">
      <x:c r="A173" s="8"/>
      <x:c r="B173" s="8"/>
      <x:c r="C173" s="8"/>
      <x:c r="D173" s="8"/>
      <x:c r="E173" s="8"/>
      <x:c r="F173" s="11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10" t="str">
        <x:f>IF(COUNTA(A173:P173)=0,"",IF(OR(A173="",B173="",C173="",D173="",E173="",G173="",H173="",I173="",J173="",K173="",L173="",M173="",N173=""),"缺必填",IF(COUNTIF($A$2:$A$201,A173)&gt;1,"ID重复",IF(COUNTIF('任务登记'!$A$2:$A$201,B173)&lt;&gt;1,"任务ID无效",IF(AND(ISBLANK(F173),P173=""),"缺金额说明",IF(AND(NOT(ISBLANK(F173)),OR(NOT(ISNUMBER(F173)),F173&lt;0)),"金额须为非负数","字段齐备"))))))</x:f>
      </x:c>
    </x:row>
    <x:row r="174" ht="32" customHeight="1">
      <x:c r="A174" s="8"/>
      <x:c r="B174" s="8"/>
      <x:c r="C174" s="8"/>
      <x:c r="D174" s="8"/>
      <x:c r="E174" s="8"/>
      <x:c r="F174" s="11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10" t="str">
        <x:f>IF(COUNTA(A174:P174)=0,"",IF(OR(A174="",B174="",C174="",D174="",E174="",G174="",H174="",I174="",J174="",K174="",L174="",M174="",N174=""),"缺必填",IF(COUNTIF($A$2:$A$201,A174)&gt;1,"ID重复",IF(COUNTIF('任务登记'!$A$2:$A$201,B174)&lt;&gt;1,"任务ID无效",IF(AND(ISBLANK(F174),P174=""),"缺金额说明",IF(AND(NOT(ISBLANK(F174)),OR(NOT(ISNUMBER(F174)),F174&lt;0)),"金额须为非负数","字段齐备"))))))</x:f>
      </x:c>
    </x:row>
    <x:row r="175" ht="32" customHeight="1">
      <x:c r="A175" s="8"/>
      <x:c r="B175" s="8"/>
      <x:c r="C175" s="8"/>
      <x:c r="D175" s="8"/>
      <x:c r="E175" s="8"/>
      <x:c r="F175" s="11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10" t="str">
        <x:f>IF(COUNTA(A175:P175)=0,"",IF(OR(A175="",B175="",C175="",D175="",E175="",G175="",H175="",I175="",J175="",K175="",L175="",M175="",N175=""),"缺必填",IF(COUNTIF($A$2:$A$201,A175)&gt;1,"ID重复",IF(COUNTIF('任务登记'!$A$2:$A$201,B175)&lt;&gt;1,"任务ID无效",IF(AND(ISBLANK(F175),P175=""),"缺金额说明",IF(AND(NOT(ISBLANK(F175)),OR(NOT(ISNUMBER(F175)),F175&lt;0)),"金额须为非负数","字段齐备"))))))</x:f>
      </x:c>
    </x:row>
    <x:row r="176" ht="32" customHeight="1">
      <x:c r="A176" s="8"/>
      <x:c r="B176" s="8"/>
      <x:c r="C176" s="8"/>
      <x:c r="D176" s="8"/>
      <x:c r="E176" s="8"/>
      <x:c r="F176" s="11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10" t="str">
        <x:f>IF(COUNTA(A176:P176)=0,"",IF(OR(A176="",B176="",C176="",D176="",E176="",G176="",H176="",I176="",J176="",K176="",L176="",M176="",N176=""),"缺必填",IF(COUNTIF($A$2:$A$201,A176)&gt;1,"ID重复",IF(COUNTIF('任务登记'!$A$2:$A$201,B176)&lt;&gt;1,"任务ID无效",IF(AND(ISBLANK(F176),P176=""),"缺金额说明",IF(AND(NOT(ISBLANK(F176)),OR(NOT(ISNUMBER(F176)),F176&lt;0)),"金额须为非负数","字段齐备"))))))</x:f>
      </x:c>
    </x:row>
    <x:row r="177" ht="32" customHeight="1">
      <x:c r="A177" s="8"/>
      <x:c r="B177" s="8"/>
      <x:c r="C177" s="8"/>
      <x:c r="D177" s="8"/>
      <x:c r="E177" s="8"/>
      <x:c r="F177" s="11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10" t="str">
        <x:f>IF(COUNTA(A177:P177)=0,"",IF(OR(A177="",B177="",C177="",D177="",E177="",G177="",H177="",I177="",J177="",K177="",L177="",M177="",N177=""),"缺必填",IF(COUNTIF($A$2:$A$201,A177)&gt;1,"ID重复",IF(COUNTIF('任务登记'!$A$2:$A$201,B177)&lt;&gt;1,"任务ID无效",IF(AND(ISBLANK(F177),P177=""),"缺金额说明",IF(AND(NOT(ISBLANK(F177)),OR(NOT(ISNUMBER(F177)),F177&lt;0)),"金额须为非负数","字段齐备"))))))</x:f>
      </x:c>
    </x:row>
    <x:row r="178" ht="32" customHeight="1">
      <x:c r="A178" s="8"/>
      <x:c r="B178" s="8"/>
      <x:c r="C178" s="8"/>
      <x:c r="D178" s="8"/>
      <x:c r="E178" s="8"/>
      <x:c r="F178" s="11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10" t="str">
        <x:f>IF(COUNTA(A178:P178)=0,"",IF(OR(A178="",B178="",C178="",D178="",E178="",G178="",H178="",I178="",J178="",K178="",L178="",M178="",N178=""),"缺必填",IF(COUNTIF($A$2:$A$201,A178)&gt;1,"ID重复",IF(COUNTIF('任务登记'!$A$2:$A$201,B178)&lt;&gt;1,"任务ID无效",IF(AND(ISBLANK(F178),P178=""),"缺金额说明",IF(AND(NOT(ISBLANK(F178)),OR(NOT(ISNUMBER(F178)),F178&lt;0)),"金额须为非负数","字段齐备"))))))</x:f>
      </x:c>
    </x:row>
    <x:row r="179" ht="32" customHeight="1">
      <x:c r="A179" s="8"/>
      <x:c r="B179" s="8"/>
      <x:c r="C179" s="8"/>
      <x:c r="D179" s="8"/>
      <x:c r="E179" s="8"/>
      <x:c r="F179" s="11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10" t="str">
        <x:f>IF(COUNTA(A179:P179)=0,"",IF(OR(A179="",B179="",C179="",D179="",E179="",G179="",H179="",I179="",J179="",K179="",L179="",M179="",N179=""),"缺必填",IF(COUNTIF($A$2:$A$201,A179)&gt;1,"ID重复",IF(COUNTIF('任务登记'!$A$2:$A$201,B179)&lt;&gt;1,"任务ID无效",IF(AND(ISBLANK(F179),P179=""),"缺金额说明",IF(AND(NOT(ISBLANK(F179)),OR(NOT(ISNUMBER(F179)),F179&lt;0)),"金额须为非负数","字段齐备"))))))</x:f>
      </x:c>
    </x:row>
    <x:row r="180" ht="32" customHeight="1">
      <x:c r="A180" s="8"/>
      <x:c r="B180" s="8"/>
      <x:c r="C180" s="8"/>
      <x:c r="D180" s="8"/>
      <x:c r="E180" s="8"/>
      <x:c r="F180" s="11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10" t="str">
        <x:f>IF(COUNTA(A180:P180)=0,"",IF(OR(A180="",B180="",C180="",D180="",E180="",G180="",H180="",I180="",J180="",K180="",L180="",M180="",N180=""),"缺必填",IF(COUNTIF($A$2:$A$201,A180)&gt;1,"ID重复",IF(COUNTIF('任务登记'!$A$2:$A$201,B180)&lt;&gt;1,"任务ID无效",IF(AND(ISBLANK(F180),P180=""),"缺金额说明",IF(AND(NOT(ISBLANK(F180)),OR(NOT(ISNUMBER(F180)),F180&lt;0)),"金额须为非负数","字段齐备"))))))</x:f>
      </x:c>
    </x:row>
    <x:row r="181" ht="32" customHeight="1">
      <x:c r="A181" s="8"/>
      <x:c r="B181" s="8"/>
      <x:c r="C181" s="8"/>
      <x:c r="D181" s="8"/>
      <x:c r="E181" s="8"/>
      <x:c r="F181" s="11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10" t="str">
        <x:f>IF(COUNTA(A181:P181)=0,"",IF(OR(A181="",B181="",C181="",D181="",E181="",G181="",H181="",I181="",J181="",K181="",L181="",M181="",N181=""),"缺必填",IF(COUNTIF($A$2:$A$201,A181)&gt;1,"ID重复",IF(COUNTIF('任务登记'!$A$2:$A$201,B181)&lt;&gt;1,"任务ID无效",IF(AND(ISBLANK(F181),P181=""),"缺金额说明",IF(AND(NOT(ISBLANK(F181)),OR(NOT(ISNUMBER(F181)),F181&lt;0)),"金额须为非负数","字段齐备"))))))</x:f>
      </x:c>
    </x:row>
    <x:row r="182" ht="32" customHeight="1">
      <x:c r="A182" s="8"/>
      <x:c r="B182" s="8"/>
      <x:c r="C182" s="8"/>
      <x:c r="D182" s="8"/>
      <x:c r="E182" s="8"/>
      <x:c r="F182" s="11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10" t="str">
        <x:f>IF(COUNTA(A182:P182)=0,"",IF(OR(A182="",B182="",C182="",D182="",E182="",G182="",H182="",I182="",J182="",K182="",L182="",M182="",N182=""),"缺必填",IF(COUNTIF($A$2:$A$201,A182)&gt;1,"ID重复",IF(COUNTIF('任务登记'!$A$2:$A$201,B182)&lt;&gt;1,"任务ID无效",IF(AND(ISBLANK(F182),P182=""),"缺金额说明",IF(AND(NOT(ISBLANK(F182)),OR(NOT(ISNUMBER(F182)),F182&lt;0)),"金额须为非负数","字段齐备"))))))</x:f>
      </x:c>
    </x:row>
    <x:row r="183" ht="32" customHeight="1">
      <x:c r="A183" s="8"/>
      <x:c r="B183" s="8"/>
      <x:c r="C183" s="8"/>
      <x:c r="D183" s="8"/>
      <x:c r="E183" s="8"/>
      <x:c r="F183" s="11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10" t="str">
        <x:f>IF(COUNTA(A183:P183)=0,"",IF(OR(A183="",B183="",C183="",D183="",E183="",G183="",H183="",I183="",J183="",K183="",L183="",M183="",N183=""),"缺必填",IF(COUNTIF($A$2:$A$201,A183)&gt;1,"ID重复",IF(COUNTIF('任务登记'!$A$2:$A$201,B183)&lt;&gt;1,"任务ID无效",IF(AND(ISBLANK(F183),P183=""),"缺金额说明",IF(AND(NOT(ISBLANK(F183)),OR(NOT(ISNUMBER(F183)),F183&lt;0)),"金额须为非负数","字段齐备"))))))</x:f>
      </x:c>
    </x:row>
    <x:row r="184" ht="32" customHeight="1">
      <x:c r="A184" s="8"/>
      <x:c r="B184" s="8"/>
      <x:c r="C184" s="8"/>
      <x:c r="D184" s="8"/>
      <x:c r="E184" s="8"/>
      <x:c r="F184" s="11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10" t="str">
        <x:f>IF(COUNTA(A184:P184)=0,"",IF(OR(A184="",B184="",C184="",D184="",E184="",G184="",H184="",I184="",J184="",K184="",L184="",M184="",N184=""),"缺必填",IF(COUNTIF($A$2:$A$201,A184)&gt;1,"ID重复",IF(COUNTIF('任务登记'!$A$2:$A$201,B184)&lt;&gt;1,"任务ID无效",IF(AND(ISBLANK(F184),P184=""),"缺金额说明",IF(AND(NOT(ISBLANK(F184)),OR(NOT(ISNUMBER(F184)),F184&lt;0)),"金额须为非负数","字段齐备"))))))</x:f>
      </x:c>
    </x:row>
    <x:row r="185" ht="32" customHeight="1">
      <x:c r="A185" s="8"/>
      <x:c r="B185" s="8"/>
      <x:c r="C185" s="8"/>
      <x:c r="D185" s="8"/>
      <x:c r="E185" s="8"/>
      <x:c r="F185" s="11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10" t="str">
        <x:f>IF(COUNTA(A185:P185)=0,"",IF(OR(A185="",B185="",C185="",D185="",E185="",G185="",H185="",I185="",J185="",K185="",L185="",M185="",N185=""),"缺必填",IF(COUNTIF($A$2:$A$201,A185)&gt;1,"ID重复",IF(COUNTIF('任务登记'!$A$2:$A$201,B185)&lt;&gt;1,"任务ID无效",IF(AND(ISBLANK(F185),P185=""),"缺金额说明",IF(AND(NOT(ISBLANK(F185)),OR(NOT(ISNUMBER(F185)),F185&lt;0)),"金额须为非负数","字段齐备"))))))</x:f>
      </x:c>
    </x:row>
    <x:row r="186" ht="32" customHeight="1">
      <x:c r="A186" s="8"/>
      <x:c r="B186" s="8"/>
      <x:c r="C186" s="8"/>
      <x:c r="D186" s="8"/>
      <x:c r="E186" s="8"/>
      <x:c r="F186" s="11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10" t="str">
        <x:f>IF(COUNTA(A186:P186)=0,"",IF(OR(A186="",B186="",C186="",D186="",E186="",G186="",H186="",I186="",J186="",K186="",L186="",M186="",N186=""),"缺必填",IF(COUNTIF($A$2:$A$201,A186)&gt;1,"ID重复",IF(COUNTIF('任务登记'!$A$2:$A$201,B186)&lt;&gt;1,"任务ID无效",IF(AND(ISBLANK(F186),P186=""),"缺金额说明",IF(AND(NOT(ISBLANK(F186)),OR(NOT(ISNUMBER(F186)),F186&lt;0)),"金额须为非负数","字段齐备"))))))</x:f>
      </x:c>
    </x:row>
    <x:row r="187" ht="32" customHeight="1">
      <x:c r="A187" s="8"/>
      <x:c r="B187" s="8"/>
      <x:c r="C187" s="8"/>
      <x:c r="D187" s="8"/>
      <x:c r="E187" s="8"/>
      <x:c r="F187" s="11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10" t="str">
        <x:f>IF(COUNTA(A187:P187)=0,"",IF(OR(A187="",B187="",C187="",D187="",E187="",G187="",H187="",I187="",J187="",K187="",L187="",M187="",N187=""),"缺必填",IF(COUNTIF($A$2:$A$201,A187)&gt;1,"ID重复",IF(COUNTIF('任务登记'!$A$2:$A$201,B187)&lt;&gt;1,"任务ID无效",IF(AND(ISBLANK(F187),P187=""),"缺金额说明",IF(AND(NOT(ISBLANK(F187)),OR(NOT(ISNUMBER(F187)),F187&lt;0)),"金额须为非负数","字段齐备"))))))</x:f>
      </x:c>
    </x:row>
    <x:row r="188" ht="32" customHeight="1">
      <x:c r="A188" s="8"/>
      <x:c r="B188" s="8"/>
      <x:c r="C188" s="8"/>
      <x:c r="D188" s="8"/>
      <x:c r="E188" s="8"/>
      <x:c r="F188" s="11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10" t="str">
        <x:f>IF(COUNTA(A188:P188)=0,"",IF(OR(A188="",B188="",C188="",D188="",E188="",G188="",H188="",I188="",J188="",K188="",L188="",M188="",N188=""),"缺必填",IF(COUNTIF($A$2:$A$201,A188)&gt;1,"ID重复",IF(COUNTIF('任务登记'!$A$2:$A$201,B188)&lt;&gt;1,"任务ID无效",IF(AND(ISBLANK(F188),P188=""),"缺金额说明",IF(AND(NOT(ISBLANK(F188)),OR(NOT(ISNUMBER(F188)),F188&lt;0)),"金额须为非负数","字段齐备"))))))</x:f>
      </x:c>
    </x:row>
    <x:row r="189" ht="32" customHeight="1">
      <x:c r="A189" s="8"/>
      <x:c r="B189" s="8"/>
      <x:c r="C189" s="8"/>
      <x:c r="D189" s="8"/>
      <x:c r="E189" s="8"/>
      <x:c r="F189" s="11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10" t="str">
        <x:f>IF(COUNTA(A189:P189)=0,"",IF(OR(A189="",B189="",C189="",D189="",E189="",G189="",H189="",I189="",J189="",K189="",L189="",M189="",N189=""),"缺必填",IF(COUNTIF($A$2:$A$201,A189)&gt;1,"ID重复",IF(COUNTIF('任务登记'!$A$2:$A$201,B189)&lt;&gt;1,"任务ID无效",IF(AND(ISBLANK(F189),P189=""),"缺金额说明",IF(AND(NOT(ISBLANK(F189)),OR(NOT(ISNUMBER(F189)),F189&lt;0)),"金额须为非负数","字段齐备"))))))</x:f>
      </x:c>
    </x:row>
    <x:row r="190" ht="32" customHeight="1">
      <x:c r="A190" s="8"/>
      <x:c r="B190" s="8"/>
      <x:c r="C190" s="8"/>
      <x:c r="D190" s="8"/>
      <x:c r="E190" s="8"/>
      <x:c r="F190" s="11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10" t="str">
        <x:f>IF(COUNTA(A190:P190)=0,"",IF(OR(A190="",B190="",C190="",D190="",E190="",G190="",H190="",I190="",J190="",K190="",L190="",M190="",N190=""),"缺必填",IF(COUNTIF($A$2:$A$201,A190)&gt;1,"ID重复",IF(COUNTIF('任务登记'!$A$2:$A$201,B190)&lt;&gt;1,"任务ID无效",IF(AND(ISBLANK(F190),P190=""),"缺金额说明",IF(AND(NOT(ISBLANK(F190)),OR(NOT(ISNUMBER(F190)),F190&lt;0)),"金额须为非负数","字段齐备"))))))</x:f>
      </x:c>
    </x:row>
    <x:row r="191" ht="32" customHeight="1">
      <x:c r="A191" s="8"/>
      <x:c r="B191" s="8"/>
      <x:c r="C191" s="8"/>
      <x:c r="D191" s="8"/>
      <x:c r="E191" s="8"/>
      <x:c r="F191" s="11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10" t="str">
        <x:f>IF(COUNTA(A191:P191)=0,"",IF(OR(A191="",B191="",C191="",D191="",E191="",G191="",H191="",I191="",J191="",K191="",L191="",M191="",N191=""),"缺必填",IF(COUNTIF($A$2:$A$201,A191)&gt;1,"ID重复",IF(COUNTIF('任务登记'!$A$2:$A$201,B191)&lt;&gt;1,"任务ID无效",IF(AND(ISBLANK(F191),P191=""),"缺金额说明",IF(AND(NOT(ISBLANK(F191)),OR(NOT(ISNUMBER(F191)),F191&lt;0)),"金额须为非负数","字段齐备"))))))</x:f>
      </x:c>
    </x:row>
    <x:row r="192" ht="32" customHeight="1">
      <x:c r="A192" s="8"/>
      <x:c r="B192" s="8"/>
      <x:c r="C192" s="8"/>
      <x:c r="D192" s="8"/>
      <x:c r="E192" s="8"/>
      <x:c r="F192" s="11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10" t="str">
        <x:f>IF(COUNTA(A192:P192)=0,"",IF(OR(A192="",B192="",C192="",D192="",E192="",G192="",H192="",I192="",J192="",K192="",L192="",M192="",N192=""),"缺必填",IF(COUNTIF($A$2:$A$201,A192)&gt;1,"ID重复",IF(COUNTIF('任务登记'!$A$2:$A$201,B192)&lt;&gt;1,"任务ID无效",IF(AND(ISBLANK(F192),P192=""),"缺金额说明",IF(AND(NOT(ISBLANK(F192)),OR(NOT(ISNUMBER(F192)),F192&lt;0)),"金额须为非负数","字段齐备"))))))</x:f>
      </x:c>
    </x:row>
    <x:row r="193" ht="32" customHeight="1">
      <x:c r="A193" s="8"/>
      <x:c r="B193" s="8"/>
      <x:c r="C193" s="8"/>
      <x:c r="D193" s="8"/>
      <x:c r="E193" s="8"/>
      <x:c r="F193" s="11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10" t="str">
        <x:f>IF(COUNTA(A193:P193)=0,"",IF(OR(A193="",B193="",C193="",D193="",E193="",G193="",H193="",I193="",J193="",K193="",L193="",M193="",N193=""),"缺必填",IF(COUNTIF($A$2:$A$201,A193)&gt;1,"ID重复",IF(COUNTIF('任务登记'!$A$2:$A$201,B193)&lt;&gt;1,"任务ID无效",IF(AND(ISBLANK(F193),P193=""),"缺金额说明",IF(AND(NOT(ISBLANK(F193)),OR(NOT(ISNUMBER(F193)),F193&lt;0)),"金额须为非负数","字段齐备"))))))</x:f>
      </x:c>
    </x:row>
    <x:row r="194" ht="32" customHeight="1">
      <x:c r="A194" s="8"/>
      <x:c r="B194" s="8"/>
      <x:c r="C194" s="8"/>
      <x:c r="D194" s="8"/>
      <x:c r="E194" s="8"/>
      <x:c r="F194" s="11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10" t="str">
        <x:f>IF(COUNTA(A194:P194)=0,"",IF(OR(A194="",B194="",C194="",D194="",E194="",G194="",H194="",I194="",J194="",K194="",L194="",M194="",N194=""),"缺必填",IF(COUNTIF($A$2:$A$201,A194)&gt;1,"ID重复",IF(COUNTIF('任务登记'!$A$2:$A$201,B194)&lt;&gt;1,"任务ID无效",IF(AND(ISBLANK(F194),P194=""),"缺金额说明",IF(AND(NOT(ISBLANK(F194)),OR(NOT(ISNUMBER(F194)),F194&lt;0)),"金额须为非负数","字段齐备"))))))</x:f>
      </x:c>
    </x:row>
    <x:row r="195" ht="32" customHeight="1">
      <x:c r="A195" s="8"/>
      <x:c r="B195" s="8"/>
      <x:c r="C195" s="8"/>
      <x:c r="D195" s="8"/>
      <x:c r="E195" s="8"/>
      <x:c r="F195" s="11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10" t="str">
        <x:f>IF(COUNTA(A195:P195)=0,"",IF(OR(A195="",B195="",C195="",D195="",E195="",G195="",H195="",I195="",J195="",K195="",L195="",M195="",N195=""),"缺必填",IF(COUNTIF($A$2:$A$201,A195)&gt;1,"ID重复",IF(COUNTIF('任务登记'!$A$2:$A$201,B195)&lt;&gt;1,"任务ID无效",IF(AND(ISBLANK(F195),P195=""),"缺金额说明",IF(AND(NOT(ISBLANK(F195)),OR(NOT(ISNUMBER(F195)),F195&lt;0)),"金额须为非负数","字段齐备"))))))</x:f>
      </x:c>
    </x:row>
    <x:row r="196" ht="32" customHeight="1">
      <x:c r="A196" s="8"/>
      <x:c r="B196" s="8"/>
      <x:c r="C196" s="8"/>
      <x:c r="D196" s="8"/>
      <x:c r="E196" s="8"/>
      <x:c r="F196" s="11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10" t="str">
        <x:f>IF(COUNTA(A196:P196)=0,"",IF(OR(A196="",B196="",C196="",D196="",E196="",G196="",H196="",I196="",J196="",K196="",L196="",M196="",N196=""),"缺必填",IF(COUNTIF($A$2:$A$201,A196)&gt;1,"ID重复",IF(COUNTIF('任务登记'!$A$2:$A$201,B196)&lt;&gt;1,"任务ID无效",IF(AND(ISBLANK(F196),P196=""),"缺金额说明",IF(AND(NOT(ISBLANK(F196)),OR(NOT(ISNUMBER(F196)),F196&lt;0)),"金额须为非负数","字段齐备"))))))</x:f>
      </x:c>
    </x:row>
    <x:row r="197" ht="32" customHeight="1">
      <x:c r="A197" s="8"/>
      <x:c r="B197" s="8"/>
      <x:c r="C197" s="8"/>
      <x:c r="D197" s="8"/>
      <x:c r="E197" s="8"/>
      <x:c r="F197" s="11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10" t="str">
        <x:f>IF(COUNTA(A197:P197)=0,"",IF(OR(A197="",B197="",C197="",D197="",E197="",G197="",H197="",I197="",J197="",K197="",L197="",M197="",N197=""),"缺必填",IF(COUNTIF($A$2:$A$201,A197)&gt;1,"ID重复",IF(COUNTIF('任务登记'!$A$2:$A$201,B197)&lt;&gt;1,"任务ID无效",IF(AND(ISBLANK(F197),P197=""),"缺金额说明",IF(AND(NOT(ISBLANK(F197)),OR(NOT(ISNUMBER(F197)),F197&lt;0)),"金额须为非负数","字段齐备"))))))</x:f>
      </x:c>
    </x:row>
    <x:row r="198" ht="32" customHeight="1">
      <x:c r="A198" s="8"/>
      <x:c r="B198" s="8"/>
      <x:c r="C198" s="8"/>
      <x:c r="D198" s="8"/>
      <x:c r="E198" s="8"/>
      <x:c r="F198" s="11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10" t="str">
        <x:f>IF(COUNTA(A198:P198)=0,"",IF(OR(A198="",B198="",C198="",D198="",E198="",G198="",H198="",I198="",J198="",K198="",L198="",M198="",N198=""),"缺必填",IF(COUNTIF($A$2:$A$201,A198)&gt;1,"ID重复",IF(COUNTIF('任务登记'!$A$2:$A$201,B198)&lt;&gt;1,"任务ID无效",IF(AND(ISBLANK(F198),P198=""),"缺金额说明",IF(AND(NOT(ISBLANK(F198)),OR(NOT(ISNUMBER(F198)),F198&lt;0)),"金额须为非负数","字段齐备"))))))</x:f>
      </x:c>
    </x:row>
    <x:row r="199" ht="32" customHeight="1">
      <x:c r="A199" s="8"/>
      <x:c r="B199" s="8"/>
      <x:c r="C199" s="8"/>
      <x:c r="D199" s="8"/>
      <x:c r="E199" s="8"/>
      <x:c r="F199" s="11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10" t="str">
        <x:f>IF(COUNTA(A199:P199)=0,"",IF(OR(A199="",B199="",C199="",D199="",E199="",G199="",H199="",I199="",J199="",K199="",L199="",M199="",N199=""),"缺必填",IF(COUNTIF($A$2:$A$201,A199)&gt;1,"ID重复",IF(COUNTIF('任务登记'!$A$2:$A$201,B199)&lt;&gt;1,"任务ID无效",IF(AND(ISBLANK(F199),P199=""),"缺金额说明",IF(AND(NOT(ISBLANK(F199)),OR(NOT(ISNUMBER(F199)),F199&lt;0)),"金额须为非负数","字段齐备"))))))</x:f>
      </x:c>
    </x:row>
    <x:row r="200" ht="32" customHeight="1">
      <x:c r="A200" s="8"/>
      <x:c r="B200" s="8"/>
      <x:c r="C200" s="8"/>
      <x:c r="D200" s="8"/>
      <x:c r="E200" s="8"/>
      <x:c r="F200" s="11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10" t="str">
        <x:f>IF(COUNTA(A200:P200)=0,"",IF(OR(A200="",B200="",C200="",D200="",E200="",G200="",H200="",I200="",J200="",K200="",L200="",M200="",N200=""),"缺必填",IF(COUNTIF($A$2:$A$201,A200)&gt;1,"ID重复",IF(COUNTIF('任务登记'!$A$2:$A$201,B200)&lt;&gt;1,"任务ID无效",IF(AND(ISBLANK(F200),P200=""),"缺金额说明",IF(AND(NOT(ISBLANK(F200)),OR(NOT(ISNUMBER(F200)),F200&lt;0)),"金额须为非负数","字段齐备"))))))</x:f>
      </x:c>
    </x:row>
    <x:row r="201" ht="32" customHeight="1">
      <x:c r="A201" s="8"/>
      <x:c r="B201" s="8"/>
      <x:c r="C201" s="8"/>
      <x:c r="D201" s="8"/>
      <x:c r="E201" s="8"/>
      <x:c r="F201" s="11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10" t="str">
        <x:f>IF(COUNTA(A201:P201)=0,"",IF(OR(A201="",B201="",C201="",D201="",E201="",G201="",H201="",I201="",J201="",K201="",L201="",M201="",N201=""),"缺必填",IF(COUNTIF($A$2:$A$201,A201)&gt;1,"ID重复",IF(COUNTIF('任务登记'!$A$2:$A$201,B201)&lt;&gt;1,"任务ID无效",IF(AND(ISBLANK(F201),P201=""),"缺金额说明",IF(AND(NOT(ISBLANK(F201)),OR(NOT(ISNUMBER(F201)),F201&lt;0)),"金额须为非负数","字段齐备"))))))</x:f>
      </x:c>
    </x:row>
  </x:sheetData>
  <x:conditionalFormatting sqref="A2:Q201">
    <x:cfRule type="expression" dxfId="7" priority="1">
      <x:formula>AND($Q2&lt;&gt;"",$Q2&lt;&gt;"字段齐备")</x:formula>
    </x:cfRule>
  </x:conditionalFormatting>
  <x:dataValidations count="4">
    <x:dataValidation type="list" sqref="E2:E201">
      <x:formula1>"账户总流水,涉诈流入资金,支付结算金额,犯罪数额,犯罪所得及收益,个人参与数额,违法所得或个人获利,退赃退赔金额"</x:formula1>
    </x:dataValidation>
    <x:dataValidation type="decimal" operator="greaterThanOrEqual" sqref="F2:F201">
      <x:formula1>0</x:formula1>
    </x:dataValidation>
    <x:dataValidation type="list" sqref="I2:I201">
      <x:formula1>"查证数额,材料记载未查证,估算,信息不足"</x:formula1>
    </x:dataValidation>
    <x:dataValidation type="list" sqref="J2:J201">
      <x:formula1>"流入,流出,双向,单项,汇总去重"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e9ef8222f9490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0" hidden="0" customWidth="1"/>
    <x:col min="12" max="12" width="30" hidden="0" customWidth="1"/>
    <x:col min="13" max="13" width="22" hidden="0" customWidth="1"/>
    <x:col min="14" max="14" width="22" hidden="0" customWidth="1"/>
    <x:col min="15" max="15" width="44" hidden="0" customWidth="1"/>
    <x:col min="16" max="16" width="44" hidden="0" customWidth="1"/>
    <x:col min="17" max="17" width="20" hidden="0" customWidth="1"/>
  </x:cols>
  <x:sheetData>
    <x:row r="1" ht="52" customHeight="1">
      <x:c r="A1" s="6" t="str">
        <x:v>要件记录ID</x:v>
      </x:c>
      <x:c r="B1" s="6" t="str">
        <x:v>任务ID</x:v>
      </x:c>
      <x:c r="C1" s="6" t="str">
        <x:v>目标ID</x:v>
      </x:c>
      <x:c r="D1" s="6" t="str">
        <x:v>行为人ID</x:v>
      </x:c>
      <x:c r="E1" s="6" t="str">
        <x:v>事件ID</x:v>
      </x:c>
      <x:c r="F1" s="6" t="str">
        <x:v>候选路径</x:v>
      </x:c>
      <x:c r="G1" s="6" t="str">
        <x:v>要件代码</x:v>
      </x:c>
      <x:c r="H1" s="6" t="str">
        <x:v>认识对象</x:v>
      </x:c>
      <x:c r="I1" s="6" t="str">
        <x:v>认识形成期间</x:v>
      </x:c>
      <x:c r="J1" s="6" t="str">
        <x:v>支持状态S</x:v>
      </x:c>
      <x:c r="K1" s="6" t="str">
        <x:v>支持片段ID</x:v>
      </x:c>
      <x:c r="L1" s="6" t="str">
        <x:v>相反片段ID</x:v>
      </x:c>
      <x:c r="M1" s="6" t="str">
        <x:v>缺失与冲突</x:v>
      </x:c>
      <x:c r="N1" s="6" t="str">
        <x:v>规范ID及条项</x:v>
      </x:c>
      <x:c r="O1" s="6" t="str">
        <x:v>论证说明</x:v>
      </x:c>
      <x:c r="P1" s="6" t="str">
        <x:v>证明责任审查</x:v>
      </x:c>
      <x:c r="Q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10" t="str">
        <x:f>IF(COUNTA(A2:P2)=0,"",IF(OR(A2="",B2="",C2="",D2="",E2="",F2="",G2="",H2="",I2="",J2="",M2="",N2="",O2="",P2=""),"缺必填",IF(COUNTIF($A$2:$A$201,A2)&gt;1,"ID重复",IF(COUNTIF('任务登记'!$A$2:$A$201,B2)&lt;&gt;1,"任务ID无效","字段齐备"))))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10" t="str">
        <x:f>IF(COUNTA(A3:P3)=0,"",IF(OR(A3="",B3="",C3="",D3="",E3="",F3="",G3="",H3="",I3="",J3="",M3="",N3="",O3="",P3=""),"缺必填",IF(COUNTIF($A$2:$A$201,A3)&gt;1,"ID重复",IF(COUNTIF('任务登记'!$A$2:$A$201,B3)&lt;&gt;1,"任务ID无效","字段齐备"))))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10" t="str">
        <x:f>IF(COUNTA(A4:P4)=0,"",IF(OR(A4="",B4="",C4="",D4="",E4="",F4="",G4="",H4="",I4="",J4="",M4="",N4="",O4="",P4=""),"缺必填",IF(COUNTIF($A$2:$A$201,A4)&gt;1,"ID重复",IF(COUNTIF('任务登记'!$A$2:$A$201,B4)&lt;&gt;1,"任务ID无效","字段齐备"))))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10" t="str">
        <x:f>IF(COUNTA(A5:P5)=0,"",IF(OR(A5="",B5="",C5="",D5="",E5="",F5="",G5="",H5="",I5="",J5="",M5="",N5="",O5="",P5=""),"缺必填",IF(COUNTIF($A$2:$A$201,A5)&gt;1,"ID重复",IF(COUNTIF('任务登记'!$A$2:$A$201,B5)&lt;&gt;1,"任务ID无效","字段齐备"))))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10" t="str">
        <x:f>IF(COUNTA(A6:P6)=0,"",IF(OR(A6="",B6="",C6="",D6="",E6="",F6="",G6="",H6="",I6="",J6="",M6="",N6="",O6="",P6=""),"缺必填",IF(COUNTIF($A$2:$A$201,A6)&gt;1,"ID重复",IF(COUNTIF('任务登记'!$A$2:$A$201,B6)&lt;&gt;1,"任务ID无效","字段齐备"))))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10" t="str">
        <x:f>IF(COUNTA(A7:P7)=0,"",IF(OR(A7="",B7="",C7="",D7="",E7="",F7="",G7="",H7="",I7="",J7="",M7="",N7="",O7="",P7=""),"缺必填",IF(COUNTIF($A$2:$A$201,A7)&gt;1,"ID重复",IF(COUNTIF('任务登记'!$A$2:$A$201,B7)&lt;&gt;1,"任务ID无效","字段齐备"))))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10" t="str">
        <x:f>IF(COUNTA(A8:P8)=0,"",IF(OR(A8="",B8="",C8="",D8="",E8="",F8="",G8="",H8="",I8="",J8="",M8="",N8="",O8="",P8=""),"缺必填",IF(COUNTIF($A$2:$A$201,A8)&gt;1,"ID重复",IF(COUNTIF('任务登记'!$A$2:$A$201,B8)&lt;&gt;1,"任务ID无效","字段齐备"))))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10" t="str">
        <x:f>IF(COUNTA(A9:P9)=0,"",IF(OR(A9="",B9="",C9="",D9="",E9="",F9="",G9="",H9="",I9="",J9="",M9="",N9="",O9="",P9=""),"缺必填",IF(COUNTIF($A$2:$A$201,A9)&gt;1,"ID重复",IF(COUNTIF('任务登记'!$A$2:$A$201,B9)&lt;&gt;1,"任务ID无效","字段齐备"))))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10" t="str">
        <x:f>IF(COUNTA(A10:P10)=0,"",IF(OR(A10="",B10="",C10="",D10="",E10="",F10="",G10="",H10="",I10="",J10="",M10="",N10="",O10="",P10=""),"缺必填",IF(COUNTIF($A$2:$A$201,A10)&gt;1,"ID重复",IF(COUNTIF('任务登记'!$A$2:$A$201,B10)&lt;&gt;1,"任务ID无效","字段齐备"))))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10" t="str">
        <x:f>IF(COUNTA(A11:P11)=0,"",IF(OR(A11="",B11="",C11="",D11="",E11="",F11="",G11="",H11="",I11="",J11="",M11="",N11="",O11="",P11=""),"缺必填",IF(COUNTIF($A$2:$A$201,A11)&gt;1,"ID重复",IF(COUNTIF('任务登记'!$A$2:$A$201,B11)&lt;&gt;1,"任务ID无效","字段齐备"))))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10" t="str">
        <x:f>IF(COUNTA(A12:P12)=0,"",IF(OR(A12="",B12="",C12="",D12="",E12="",F12="",G12="",H12="",I12="",J12="",M12="",N12="",O12="",P12=""),"缺必填",IF(COUNTIF($A$2:$A$201,A12)&gt;1,"ID重复",IF(COUNTIF('任务登记'!$A$2:$A$201,B12)&lt;&gt;1,"任务ID无效","字段齐备"))))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10" t="str">
        <x:f>IF(COUNTA(A13:P13)=0,"",IF(OR(A13="",B13="",C13="",D13="",E13="",F13="",G13="",H13="",I13="",J13="",M13="",N13="",O13="",P13=""),"缺必填",IF(COUNTIF($A$2:$A$201,A13)&gt;1,"ID重复",IF(COUNTIF('任务登记'!$A$2:$A$201,B13)&lt;&gt;1,"任务ID无效","字段齐备"))))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10" t="str">
        <x:f>IF(COUNTA(A14:P14)=0,"",IF(OR(A14="",B14="",C14="",D14="",E14="",F14="",G14="",H14="",I14="",J14="",M14="",N14="",O14="",P14=""),"缺必填",IF(COUNTIF($A$2:$A$201,A14)&gt;1,"ID重复",IF(COUNTIF('任务登记'!$A$2:$A$201,B14)&lt;&gt;1,"任务ID无效","字段齐备"))))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10" t="str">
        <x:f>IF(COUNTA(A15:P15)=0,"",IF(OR(A15="",B15="",C15="",D15="",E15="",F15="",G15="",H15="",I15="",J15="",M15="",N15="",O15="",P15=""),"缺必填",IF(COUNTIF($A$2:$A$201,A15)&gt;1,"ID重复",IF(COUNTIF('任务登记'!$A$2:$A$201,B15)&lt;&gt;1,"任务ID无效","字段齐备"))))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10" t="str">
        <x:f>IF(COUNTA(A16:P16)=0,"",IF(OR(A16="",B16="",C16="",D16="",E16="",F16="",G16="",H16="",I16="",J16="",M16="",N16="",O16="",P16=""),"缺必填",IF(COUNTIF($A$2:$A$201,A16)&gt;1,"ID重复",IF(COUNTIF('任务登记'!$A$2:$A$201,B16)&lt;&gt;1,"任务ID无效","字段齐备"))))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10" t="str">
        <x:f>IF(COUNTA(A17:P17)=0,"",IF(OR(A17="",B17="",C17="",D17="",E17="",F17="",G17="",H17="",I17="",J17="",M17="",N17="",O17="",P17=""),"缺必填",IF(COUNTIF($A$2:$A$201,A17)&gt;1,"ID重复",IF(COUNTIF('任务登记'!$A$2:$A$201,B17)&lt;&gt;1,"任务ID无效","字段齐备"))))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10" t="str">
        <x:f>IF(COUNTA(A18:P18)=0,"",IF(OR(A18="",B18="",C18="",D18="",E18="",F18="",G18="",H18="",I18="",J18="",M18="",N18="",O18="",P18=""),"缺必填",IF(COUNTIF($A$2:$A$201,A18)&gt;1,"ID重复",IF(COUNTIF('任务登记'!$A$2:$A$201,B18)&lt;&gt;1,"任务ID无效","字段齐备"))))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10" t="str">
        <x:f>IF(COUNTA(A19:P19)=0,"",IF(OR(A19="",B19="",C19="",D19="",E19="",F19="",G19="",H19="",I19="",J19="",M19="",N19="",O19="",P19=""),"缺必填",IF(COUNTIF($A$2:$A$201,A19)&gt;1,"ID重复",IF(COUNTIF('任务登记'!$A$2:$A$201,B19)&lt;&gt;1,"任务ID无效","字段齐备"))))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10" t="str">
        <x:f>IF(COUNTA(A20:P20)=0,"",IF(OR(A20="",B20="",C20="",D20="",E20="",F20="",G20="",H20="",I20="",J20="",M20="",N20="",O20="",P20=""),"缺必填",IF(COUNTIF($A$2:$A$201,A20)&gt;1,"ID重复",IF(COUNTIF('任务登记'!$A$2:$A$201,B20)&lt;&gt;1,"任务ID无效","字段齐备"))))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10" t="str">
        <x:f>IF(COUNTA(A21:P21)=0,"",IF(OR(A21="",B21="",C21="",D21="",E21="",F21="",G21="",H21="",I21="",J21="",M21="",N21="",O21="",P21=""),"缺必填",IF(COUNTIF($A$2:$A$201,A21)&gt;1,"ID重复",IF(COUNTIF('任务登记'!$A$2:$A$201,B21)&lt;&gt;1,"任务ID无效","字段齐备"))))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10" t="str">
        <x:f>IF(COUNTA(A22:P22)=0,"",IF(OR(A22="",B22="",C22="",D22="",E22="",F22="",G22="",H22="",I22="",J22="",M22="",N22="",O22="",P22=""),"缺必填",IF(COUNTIF($A$2:$A$201,A22)&gt;1,"ID重复",IF(COUNTIF('任务登记'!$A$2:$A$201,B22)&lt;&gt;1,"任务ID无效","字段齐备"))))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10" t="str">
        <x:f>IF(COUNTA(A23:P23)=0,"",IF(OR(A23="",B23="",C23="",D23="",E23="",F23="",G23="",H23="",I23="",J23="",M23="",N23="",O23="",P23=""),"缺必填",IF(COUNTIF($A$2:$A$201,A23)&gt;1,"ID重复",IF(COUNTIF('任务登记'!$A$2:$A$201,B23)&lt;&gt;1,"任务ID无效","字段齐备"))))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10" t="str">
        <x:f>IF(COUNTA(A24:P24)=0,"",IF(OR(A24="",B24="",C24="",D24="",E24="",F24="",G24="",H24="",I24="",J24="",M24="",N24="",O24="",P24=""),"缺必填",IF(COUNTIF($A$2:$A$201,A24)&gt;1,"ID重复",IF(COUNTIF('任务登记'!$A$2:$A$201,B24)&lt;&gt;1,"任务ID无效","字段齐备"))))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10" t="str">
        <x:f>IF(COUNTA(A25:P25)=0,"",IF(OR(A25="",B25="",C25="",D25="",E25="",F25="",G25="",H25="",I25="",J25="",M25="",N25="",O25="",P25=""),"缺必填",IF(COUNTIF($A$2:$A$201,A25)&gt;1,"ID重复",IF(COUNTIF('任务登记'!$A$2:$A$201,B25)&lt;&gt;1,"任务ID无效","字段齐备"))))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10" t="str">
        <x:f>IF(COUNTA(A26:P26)=0,"",IF(OR(A26="",B26="",C26="",D26="",E26="",F26="",G26="",H26="",I26="",J26="",M26="",N26="",O26="",P26=""),"缺必填",IF(COUNTIF($A$2:$A$201,A26)&gt;1,"ID重复",IF(COUNTIF('任务登记'!$A$2:$A$201,B26)&lt;&gt;1,"任务ID无效","字段齐备"))))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10" t="str">
        <x:f>IF(COUNTA(A27:P27)=0,"",IF(OR(A27="",B27="",C27="",D27="",E27="",F27="",G27="",H27="",I27="",J27="",M27="",N27="",O27="",P27=""),"缺必填",IF(COUNTIF($A$2:$A$201,A27)&gt;1,"ID重复",IF(COUNTIF('任务登记'!$A$2:$A$201,B27)&lt;&gt;1,"任务ID无效","字段齐备"))))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10" t="str">
        <x:f>IF(COUNTA(A28:P28)=0,"",IF(OR(A28="",B28="",C28="",D28="",E28="",F28="",G28="",H28="",I28="",J28="",M28="",N28="",O28="",P28=""),"缺必填",IF(COUNTIF($A$2:$A$201,A28)&gt;1,"ID重复",IF(COUNTIF('任务登记'!$A$2:$A$201,B28)&lt;&gt;1,"任务ID无效","字段齐备"))))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10" t="str">
        <x:f>IF(COUNTA(A29:P29)=0,"",IF(OR(A29="",B29="",C29="",D29="",E29="",F29="",G29="",H29="",I29="",J29="",M29="",N29="",O29="",P29=""),"缺必填",IF(COUNTIF($A$2:$A$201,A29)&gt;1,"ID重复",IF(COUNTIF('任务登记'!$A$2:$A$201,B29)&lt;&gt;1,"任务ID无效","字段齐备"))))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10" t="str">
        <x:f>IF(COUNTA(A30:P30)=0,"",IF(OR(A30="",B30="",C30="",D30="",E30="",F30="",G30="",H30="",I30="",J30="",M30="",N30="",O30="",P30=""),"缺必填",IF(COUNTIF($A$2:$A$201,A30)&gt;1,"ID重复",IF(COUNTIF('任务登记'!$A$2:$A$201,B30)&lt;&gt;1,"任务ID无效","字段齐备"))))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10" t="str">
        <x:f>IF(COUNTA(A31:P31)=0,"",IF(OR(A31="",B31="",C31="",D31="",E31="",F31="",G31="",H31="",I31="",J31="",M31="",N31="",O31="",P31=""),"缺必填",IF(COUNTIF($A$2:$A$201,A31)&gt;1,"ID重复",IF(COUNTIF('任务登记'!$A$2:$A$201,B31)&lt;&gt;1,"任务ID无效","字段齐备"))))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10" t="str">
        <x:f>IF(COUNTA(A32:P32)=0,"",IF(OR(A32="",B32="",C32="",D32="",E32="",F32="",G32="",H32="",I32="",J32="",M32="",N32="",O32="",P32=""),"缺必填",IF(COUNTIF($A$2:$A$201,A32)&gt;1,"ID重复",IF(COUNTIF('任务登记'!$A$2:$A$201,B32)&lt;&gt;1,"任务ID无效","字段齐备"))))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10" t="str">
        <x:f>IF(COUNTA(A33:P33)=0,"",IF(OR(A33="",B33="",C33="",D33="",E33="",F33="",G33="",H33="",I33="",J33="",M33="",N33="",O33="",P33=""),"缺必填",IF(COUNTIF($A$2:$A$201,A33)&gt;1,"ID重复",IF(COUNTIF('任务登记'!$A$2:$A$201,B33)&lt;&gt;1,"任务ID无效","字段齐备"))))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10" t="str">
        <x:f>IF(COUNTA(A34:P34)=0,"",IF(OR(A34="",B34="",C34="",D34="",E34="",F34="",G34="",H34="",I34="",J34="",M34="",N34="",O34="",P34=""),"缺必填",IF(COUNTIF($A$2:$A$201,A34)&gt;1,"ID重复",IF(COUNTIF('任务登记'!$A$2:$A$201,B34)&lt;&gt;1,"任务ID无效","字段齐备"))))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10" t="str">
        <x:f>IF(COUNTA(A35:P35)=0,"",IF(OR(A35="",B35="",C35="",D35="",E35="",F35="",G35="",H35="",I35="",J35="",M35="",N35="",O35="",P35=""),"缺必填",IF(COUNTIF($A$2:$A$201,A35)&gt;1,"ID重复",IF(COUNTIF('任务登记'!$A$2:$A$201,B35)&lt;&gt;1,"任务ID无效","字段齐备"))))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10" t="str">
        <x:f>IF(COUNTA(A36:P36)=0,"",IF(OR(A36="",B36="",C36="",D36="",E36="",F36="",G36="",H36="",I36="",J36="",M36="",N36="",O36="",P36=""),"缺必填",IF(COUNTIF($A$2:$A$201,A36)&gt;1,"ID重复",IF(COUNTIF('任务登记'!$A$2:$A$201,B36)&lt;&gt;1,"任务ID无效","字段齐备"))))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10" t="str">
        <x:f>IF(COUNTA(A37:P37)=0,"",IF(OR(A37="",B37="",C37="",D37="",E37="",F37="",G37="",H37="",I37="",J37="",M37="",N37="",O37="",P37=""),"缺必填",IF(COUNTIF($A$2:$A$201,A37)&gt;1,"ID重复",IF(COUNTIF('任务登记'!$A$2:$A$201,B37)&lt;&gt;1,"任务ID无效","字段齐备"))))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10" t="str">
        <x:f>IF(COUNTA(A38:P38)=0,"",IF(OR(A38="",B38="",C38="",D38="",E38="",F38="",G38="",H38="",I38="",J38="",M38="",N38="",O38="",P38=""),"缺必填",IF(COUNTIF($A$2:$A$201,A38)&gt;1,"ID重复",IF(COUNTIF('任务登记'!$A$2:$A$201,B38)&lt;&gt;1,"任务ID无效","字段齐备"))))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10" t="str">
        <x:f>IF(COUNTA(A39:P39)=0,"",IF(OR(A39="",B39="",C39="",D39="",E39="",F39="",G39="",H39="",I39="",J39="",M39="",N39="",O39="",P39=""),"缺必填",IF(COUNTIF($A$2:$A$201,A39)&gt;1,"ID重复",IF(COUNTIF('任务登记'!$A$2:$A$201,B39)&lt;&gt;1,"任务ID无效","字段齐备"))))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10" t="str">
        <x:f>IF(COUNTA(A40:P40)=0,"",IF(OR(A40="",B40="",C40="",D40="",E40="",F40="",G40="",H40="",I40="",J40="",M40="",N40="",O40="",P40=""),"缺必填",IF(COUNTIF($A$2:$A$201,A40)&gt;1,"ID重复",IF(COUNTIF('任务登记'!$A$2:$A$201,B40)&lt;&gt;1,"任务ID无效","字段齐备"))))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10" t="str">
        <x:f>IF(COUNTA(A41:P41)=0,"",IF(OR(A41="",B41="",C41="",D41="",E41="",F41="",G41="",H41="",I41="",J41="",M41="",N41="",O41="",P41=""),"缺必填",IF(COUNTIF($A$2:$A$201,A41)&gt;1,"ID重复",IF(COUNTIF('任务登记'!$A$2:$A$201,B41)&lt;&gt;1,"任务ID无效","字段齐备"))))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10" t="str">
        <x:f>IF(COUNTA(A42:P42)=0,"",IF(OR(A42="",B42="",C42="",D42="",E42="",F42="",G42="",H42="",I42="",J42="",M42="",N42="",O42="",P42=""),"缺必填",IF(COUNTIF($A$2:$A$201,A42)&gt;1,"ID重复",IF(COUNTIF('任务登记'!$A$2:$A$201,B42)&lt;&gt;1,"任务ID无效","字段齐备"))))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10" t="str">
        <x:f>IF(COUNTA(A43:P43)=0,"",IF(OR(A43="",B43="",C43="",D43="",E43="",F43="",G43="",H43="",I43="",J43="",M43="",N43="",O43="",P43=""),"缺必填",IF(COUNTIF($A$2:$A$201,A43)&gt;1,"ID重复",IF(COUNTIF('任务登记'!$A$2:$A$201,B43)&lt;&gt;1,"任务ID无效","字段齐备"))))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10" t="str">
        <x:f>IF(COUNTA(A44:P44)=0,"",IF(OR(A44="",B44="",C44="",D44="",E44="",F44="",G44="",H44="",I44="",J44="",M44="",N44="",O44="",P44=""),"缺必填",IF(COUNTIF($A$2:$A$201,A44)&gt;1,"ID重复",IF(COUNTIF('任务登记'!$A$2:$A$201,B44)&lt;&gt;1,"任务ID无效","字段齐备"))))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10" t="str">
        <x:f>IF(COUNTA(A45:P45)=0,"",IF(OR(A45="",B45="",C45="",D45="",E45="",F45="",G45="",H45="",I45="",J45="",M45="",N45="",O45="",P45=""),"缺必填",IF(COUNTIF($A$2:$A$201,A45)&gt;1,"ID重复",IF(COUNTIF('任务登记'!$A$2:$A$201,B45)&lt;&gt;1,"任务ID无效","字段齐备"))))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10" t="str">
        <x:f>IF(COUNTA(A46:P46)=0,"",IF(OR(A46="",B46="",C46="",D46="",E46="",F46="",G46="",H46="",I46="",J46="",M46="",N46="",O46="",P46=""),"缺必填",IF(COUNTIF($A$2:$A$201,A46)&gt;1,"ID重复",IF(COUNTIF('任务登记'!$A$2:$A$201,B46)&lt;&gt;1,"任务ID无效","字段齐备"))))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10" t="str">
        <x:f>IF(COUNTA(A47:P47)=0,"",IF(OR(A47="",B47="",C47="",D47="",E47="",F47="",G47="",H47="",I47="",J47="",M47="",N47="",O47="",P47=""),"缺必填",IF(COUNTIF($A$2:$A$201,A47)&gt;1,"ID重复",IF(COUNTIF('任务登记'!$A$2:$A$201,B47)&lt;&gt;1,"任务ID无效","字段齐备"))))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10" t="str">
        <x:f>IF(COUNTA(A48:P48)=0,"",IF(OR(A48="",B48="",C48="",D48="",E48="",F48="",G48="",H48="",I48="",J48="",M48="",N48="",O48="",P48=""),"缺必填",IF(COUNTIF($A$2:$A$201,A48)&gt;1,"ID重复",IF(COUNTIF('任务登记'!$A$2:$A$201,B48)&lt;&gt;1,"任务ID无效","字段齐备"))))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10" t="str">
        <x:f>IF(COUNTA(A49:P49)=0,"",IF(OR(A49="",B49="",C49="",D49="",E49="",F49="",G49="",H49="",I49="",J49="",M49="",N49="",O49="",P49=""),"缺必填",IF(COUNTIF($A$2:$A$201,A49)&gt;1,"ID重复",IF(COUNTIF('任务登记'!$A$2:$A$201,B49)&lt;&gt;1,"任务ID无效","字段齐备"))))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10" t="str">
        <x:f>IF(COUNTA(A50:P50)=0,"",IF(OR(A50="",B50="",C50="",D50="",E50="",F50="",G50="",H50="",I50="",J50="",M50="",N50="",O50="",P50=""),"缺必填",IF(COUNTIF($A$2:$A$201,A50)&gt;1,"ID重复",IF(COUNTIF('任务登记'!$A$2:$A$201,B50)&lt;&gt;1,"任务ID无效","字段齐备"))))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10" t="str">
        <x:f>IF(COUNTA(A51:P51)=0,"",IF(OR(A51="",B51="",C51="",D51="",E51="",F51="",G51="",H51="",I51="",J51="",M51="",N51="",O51="",P51=""),"缺必填",IF(COUNTIF($A$2:$A$201,A51)&gt;1,"ID重复",IF(COUNTIF('任务登记'!$A$2:$A$201,B51)&lt;&gt;1,"任务ID无效","字段齐备"))))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10" t="str">
        <x:f>IF(COUNTA(A52:P52)=0,"",IF(OR(A52="",B52="",C52="",D52="",E52="",F52="",G52="",H52="",I52="",J52="",M52="",N52="",O52="",P52=""),"缺必填",IF(COUNTIF($A$2:$A$201,A52)&gt;1,"ID重复",IF(COUNTIF('任务登记'!$A$2:$A$201,B52)&lt;&gt;1,"任务ID无效","字段齐备"))))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10" t="str">
        <x:f>IF(COUNTA(A53:P53)=0,"",IF(OR(A53="",B53="",C53="",D53="",E53="",F53="",G53="",H53="",I53="",J53="",M53="",N53="",O53="",P53=""),"缺必填",IF(COUNTIF($A$2:$A$201,A53)&gt;1,"ID重复",IF(COUNTIF('任务登记'!$A$2:$A$201,B53)&lt;&gt;1,"任务ID无效","字段齐备"))))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10" t="str">
        <x:f>IF(COUNTA(A54:P54)=0,"",IF(OR(A54="",B54="",C54="",D54="",E54="",F54="",G54="",H54="",I54="",J54="",M54="",N54="",O54="",P54=""),"缺必填",IF(COUNTIF($A$2:$A$201,A54)&gt;1,"ID重复",IF(COUNTIF('任务登记'!$A$2:$A$201,B54)&lt;&gt;1,"任务ID无效","字段齐备"))))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10" t="str">
        <x:f>IF(COUNTA(A55:P55)=0,"",IF(OR(A55="",B55="",C55="",D55="",E55="",F55="",G55="",H55="",I55="",J55="",M55="",N55="",O55="",P55=""),"缺必填",IF(COUNTIF($A$2:$A$201,A55)&gt;1,"ID重复",IF(COUNTIF('任务登记'!$A$2:$A$201,B55)&lt;&gt;1,"任务ID无效","字段齐备"))))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10" t="str">
        <x:f>IF(COUNTA(A56:P56)=0,"",IF(OR(A56="",B56="",C56="",D56="",E56="",F56="",G56="",H56="",I56="",J56="",M56="",N56="",O56="",P56=""),"缺必填",IF(COUNTIF($A$2:$A$201,A56)&gt;1,"ID重复",IF(COUNTIF('任务登记'!$A$2:$A$201,B56)&lt;&gt;1,"任务ID无效","字段齐备"))))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10" t="str">
        <x:f>IF(COUNTA(A57:P57)=0,"",IF(OR(A57="",B57="",C57="",D57="",E57="",F57="",G57="",H57="",I57="",J57="",M57="",N57="",O57="",P57=""),"缺必填",IF(COUNTIF($A$2:$A$201,A57)&gt;1,"ID重复",IF(COUNTIF('任务登记'!$A$2:$A$201,B57)&lt;&gt;1,"任务ID无效","字段齐备"))))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10" t="str">
        <x:f>IF(COUNTA(A58:P58)=0,"",IF(OR(A58="",B58="",C58="",D58="",E58="",F58="",G58="",H58="",I58="",J58="",M58="",N58="",O58="",P58=""),"缺必填",IF(COUNTIF($A$2:$A$201,A58)&gt;1,"ID重复",IF(COUNTIF('任务登记'!$A$2:$A$201,B58)&lt;&gt;1,"任务ID无效","字段齐备"))))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10" t="str">
        <x:f>IF(COUNTA(A59:P59)=0,"",IF(OR(A59="",B59="",C59="",D59="",E59="",F59="",G59="",H59="",I59="",J59="",M59="",N59="",O59="",P59=""),"缺必填",IF(COUNTIF($A$2:$A$201,A59)&gt;1,"ID重复",IF(COUNTIF('任务登记'!$A$2:$A$201,B59)&lt;&gt;1,"任务ID无效","字段齐备"))))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10" t="str">
        <x:f>IF(COUNTA(A60:P60)=0,"",IF(OR(A60="",B60="",C60="",D60="",E60="",F60="",G60="",H60="",I60="",J60="",M60="",N60="",O60="",P60=""),"缺必填",IF(COUNTIF($A$2:$A$201,A60)&gt;1,"ID重复",IF(COUNTIF('任务登记'!$A$2:$A$201,B60)&lt;&gt;1,"任务ID无效","字段齐备"))))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10" t="str">
        <x:f>IF(COUNTA(A61:P61)=0,"",IF(OR(A61="",B61="",C61="",D61="",E61="",F61="",G61="",H61="",I61="",J61="",M61="",N61="",O61="",P61=""),"缺必填",IF(COUNTIF($A$2:$A$201,A61)&gt;1,"ID重复",IF(COUNTIF('任务登记'!$A$2:$A$201,B61)&lt;&gt;1,"任务ID无效","字段齐备"))))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10" t="str">
        <x:f>IF(COUNTA(A62:P62)=0,"",IF(OR(A62="",B62="",C62="",D62="",E62="",F62="",G62="",H62="",I62="",J62="",M62="",N62="",O62="",P62=""),"缺必填",IF(COUNTIF($A$2:$A$201,A62)&gt;1,"ID重复",IF(COUNTIF('任务登记'!$A$2:$A$201,B62)&lt;&gt;1,"任务ID无效","字段齐备"))))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10" t="str">
        <x:f>IF(COUNTA(A63:P63)=0,"",IF(OR(A63="",B63="",C63="",D63="",E63="",F63="",G63="",H63="",I63="",J63="",M63="",N63="",O63="",P63=""),"缺必填",IF(COUNTIF($A$2:$A$201,A63)&gt;1,"ID重复",IF(COUNTIF('任务登记'!$A$2:$A$201,B63)&lt;&gt;1,"任务ID无效","字段齐备"))))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10" t="str">
        <x:f>IF(COUNTA(A64:P64)=0,"",IF(OR(A64="",B64="",C64="",D64="",E64="",F64="",G64="",H64="",I64="",J64="",M64="",N64="",O64="",P64=""),"缺必填",IF(COUNTIF($A$2:$A$201,A64)&gt;1,"ID重复",IF(COUNTIF('任务登记'!$A$2:$A$201,B64)&lt;&gt;1,"任务ID无效","字段齐备"))))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10" t="str">
        <x:f>IF(COUNTA(A65:P65)=0,"",IF(OR(A65="",B65="",C65="",D65="",E65="",F65="",G65="",H65="",I65="",J65="",M65="",N65="",O65="",P65=""),"缺必填",IF(COUNTIF($A$2:$A$201,A65)&gt;1,"ID重复",IF(COUNTIF('任务登记'!$A$2:$A$201,B65)&lt;&gt;1,"任务ID无效","字段齐备"))))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10" t="str">
        <x:f>IF(COUNTA(A66:P66)=0,"",IF(OR(A66="",B66="",C66="",D66="",E66="",F66="",G66="",H66="",I66="",J66="",M66="",N66="",O66="",P66=""),"缺必填",IF(COUNTIF($A$2:$A$201,A66)&gt;1,"ID重复",IF(COUNTIF('任务登记'!$A$2:$A$201,B66)&lt;&gt;1,"任务ID无效","字段齐备"))))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10" t="str">
        <x:f>IF(COUNTA(A67:P67)=0,"",IF(OR(A67="",B67="",C67="",D67="",E67="",F67="",G67="",H67="",I67="",J67="",M67="",N67="",O67="",P67=""),"缺必填",IF(COUNTIF($A$2:$A$201,A67)&gt;1,"ID重复",IF(COUNTIF('任务登记'!$A$2:$A$201,B67)&lt;&gt;1,"任务ID无效","字段齐备"))))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10" t="str">
        <x:f>IF(COUNTA(A68:P68)=0,"",IF(OR(A68="",B68="",C68="",D68="",E68="",F68="",G68="",H68="",I68="",J68="",M68="",N68="",O68="",P68=""),"缺必填",IF(COUNTIF($A$2:$A$201,A68)&gt;1,"ID重复",IF(COUNTIF('任务登记'!$A$2:$A$201,B68)&lt;&gt;1,"任务ID无效","字段齐备"))))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10" t="str">
        <x:f>IF(COUNTA(A69:P69)=0,"",IF(OR(A69="",B69="",C69="",D69="",E69="",F69="",G69="",H69="",I69="",J69="",M69="",N69="",O69="",P69=""),"缺必填",IF(COUNTIF($A$2:$A$201,A69)&gt;1,"ID重复",IF(COUNTIF('任务登记'!$A$2:$A$201,B69)&lt;&gt;1,"任务ID无效","字段齐备"))))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10" t="str">
        <x:f>IF(COUNTA(A70:P70)=0,"",IF(OR(A70="",B70="",C70="",D70="",E70="",F70="",G70="",H70="",I70="",J70="",M70="",N70="",O70="",P70=""),"缺必填",IF(COUNTIF($A$2:$A$201,A70)&gt;1,"ID重复",IF(COUNTIF('任务登记'!$A$2:$A$201,B70)&lt;&gt;1,"任务ID无效","字段齐备"))))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10" t="str">
        <x:f>IF(COUNTA(A71:P71)=0,"",IF(OR(A71="",B71="",C71="",D71="",E71="",F71="",G71="",H71="",I71="",J71="",M71="",N71="",O71="",P71=""),"缺必填",IF(COUNTIF($A$2:$A$201,A71)&gt;1,"ID重复",IF(COUNTIF('任务登记'!$A$2:$A$201,B71)&lt;&gt;1,"任务ID无效","字段齐备"))))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10" t="str">
        <x:f>IF(COUNTA(A72:P72)=0,"",IF(OR(A72="",B72="",C72="",D72="",E72="",F72="",G72="",H72="",I72="",J72="",M72="",N72="",O72="",P72=""),"缺必填",IF(COUNTIF($A$2:$A$201,A72)&gt;1,"ID重复",IF(COUNTIF('任务登记'!$A$2:$A$201,B72)&lt;&gt;1,"任务ID无效","字段齐备"))))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10" t="str">
        <x:f>IF(COUNTA(A73:P73)=0,"",IF(OR(A73="",B73="",C73="",D73="",E73="",F73="",G73="",H73="",I73="",J73="",M73="",N73="",O73="",P73=""),"缺必填",IF(COUNTIF($A$2:$A$201,A73)&gt;1,"ID重复",IF(COUNTIF('任务登记'!$A$2:$A$201,B73)&lt;&gt;1,"任务ID无效","字段齐备"))))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10" t="str">
        <x:f>IF(COUNTA(A74:P74)=0,"",IF(OR(A74="",B74="",C74="",D74="",E74="",F74="",G74="",H74="",I74="",J74="",M74="",N74="",O74="",P74=""),"缺必填",IF(COUNTIF($A$2:$A$201,A74)&gt;1,"ID重复",IF(COUNTIF('任务登记'!$A$2:$A$201,B74)&lt;&gt;1,"任务ID无效","字段齐备"))))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10" t="str">
        <x:f>IF(COUNTA(A75:P75)=0,"",IF(OR(A75="",B75="",C75="",D75="",E75="",F75="",G75="",H75="",I75="",J75="",M75="",N75="",O75="",P75=""),"缺必填",IF(COUNTIF($A$2:$A$201,A75)&gt;1,"ID重复",IF(COUNTIF('任务登记'!$A$2:$A$201,B75)&lt;&gt;1,"任务ID无效","字段齐备"))))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10" t="str">
        <x:f>IF(COUNTA(A76:P76)=0,"",IF(OR(A76="",B76="",C76="",D76="",E76="",F76="",G76="",H76="",I76="",J76="",M76="",N76="",O76="",P76=""),"缺必填",IF(COUNTIF($A$2:$A$201,A76)&gt;1,"ID重复",IF(COUNTIF('任务登记'!$A$2:$A$201,B76)&lt;&gt;1,"任务ID无效","字段齐备"))))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10" t="str">
        <x:f>IF(COUNTA(A77:P77)=0,"",IF(OR(A77="",B77="",C77="",D77="",E77="",F77="",G77="",H77="",I77="",J77="",M77="",N77="",O77="",P77=""),"缺必填",IF(COUNTIF($A$2:$A$201,A77)&gt;1,"ID重复",IF(COUNTIF('任务登记'!$A$2:$A$201,B77)&lt;&gt;1,"任务ID无效","字段齐备"))))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10" t="str">
        <x:f>IF(COUNTA(A78:P78)=0,"",IF(OR(A78="",B78="",C78="",D78="",E78="",F78="",G78="",H78="",I78="",J78="",M78="",N78="",O78="",P78=""),"缺必填",IF(COUNTIF($A$2:$A$201,A78)&gt;1,"ID重复",IF(COUNTIF('任务登记'!$A$2:$A$201,B78)&lt;&gt;1,"任务ID无效","字段齐备"))))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10" t="str">
        <x:f>IF(COUNTA(A79:P79)=0,"",IF(OR(A79="",B79="",C79="",D79="",E79="",F79="",G79="",H79="",I79="",J79="",M79="",N79="",O79="",P79=""),"缺必填",IF(COUNTIF($A$2:$A$201,A79)&gt;1,"ID重复",IF(COUNTIF('任务登记'!$A$2:$A$201,B79)&lt;&gt;1,"任务ID无效","字段齐备"))))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10" t="str">
        <x:f>IF(COUNTA(A80:P80)=0,"",IF(OR(A80="",B80="",C80="",D80="",E80="",F80="",G80="",H80="",I80="",J80="",M80="",N80="",O80="",P80=""),"缺必填",IF(COUNTIF($A$2:$A$201,A80)&gt;1,"ID重复",IF(COUNTIF('任务登记'!$A$2:$A$201,B80)&lt;&gt;1,"任务ID无效","字段齐备"))))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10" t="str">
        <x:f>IF(COUNTA(A81:P81)=0,"",IF(OR(A81="",B81="",C81="",D81="",E81="",F81="",G81="",H81="",I81="",J81="",M81="",N81="",O81="",P81=""),"缺必填",IF(COUNTIF($A$2:$A$201,A81)&gt;1,"ID重复",IF(COUNTIF('任务登记'!$A$2:$A$201,B81)&lt;&gt;1,"任务ID无效","字段齐备"))))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10" t="str">
        <x:f>IF(COUNTA(A82:P82)=0,"",IF(OR(A82="",B82="",C82="",D82="",E82="",F82="",G82="",H82="",I82="",J82="",M82="",N82="",O82="",P82=""),"缺必填",IF(COUNTIF($A$2:$A$201,A82)&gt;1,"ID重复",IF(COUNTIF('任务登记'!$A$2:$A$201,B82)&lt;&gt;1,"任务ID无效","字段齐备"))))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10" t="str">
        <x:f>IF(COUNTA(A83:P83)=0,"",IF(OR(A83="",B83="",C83="",D83="",E83="",F83="",G83="",H83="",I83="",J83="",M83="",N83="",O83="",P83=""),"缺必填",IF(COUNTIF($A$2:$A$201,A83)&gt;1,"ID重复",IF(COUNTIF('任务登记'!$A$2:$A$201,B83)&lt;&gt;1,"任务ID无效","字段齐备"))))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10" t="str">
        <x:f>IF(COUNTA(A84:P84)=0,"",IF(OR(A84="",B84="",C84="",D84="",E84="",F84="",G84="",H84="",I84="",J84="",M84="",N84="",O84="",P84=""),"缺必填",IF(COUNTIF($A$2:$A$201,A84)&gt;1,"ID重复",IF(COUNTIF('任务登记'!$A$2:$A$201,B84)&lt;&gt;1,"任务ID无效","字段齐备"))))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10" t="str">
        <x:f>IF(COUNTA(A85:P85)=0,"",IF(OR(A85="",B85="",C85="",D85="",E85="",F85="",G85="",H85="",I85="",J85="",M85="",N85="",O85="",P85=""),"缺必填",IF(COUNTIF($A$2:$A$201,A85)&gt;1,"ID重复",IF(COUNTIF('任务登记'!$A$2:$A$201,B85)&lt;&gt;1,"任务ID无效","字段齐备"))))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10" t="str">
        <x:f>IF(COUNTA(A86:P86)=0,"",IF(OR(A86="",B86="",C86="",D86="",E86="",F86="",G86="",H86="",I86="",J86="",M86="",N86="",O86="",P86=""),"缺必填",IF(COUNTIF($A$2:$A$201,A86)&gt;1,"ID重复",IF(COUNTIF('任务登记'!$A$2:$A$201,B86)&lt;&gt;1,"任务ID无效","字段齐备"))))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10" t="str">
        <x:f>IF(COUNTA(A87:P87)=0,"",IF(OR(A87="",B87="",C87="",D87="",E87="",F87="",G87="",H87="",I87="",J87="",M87="",N87="",O87="",P87=""),"缺必填",IF(COUNTIF($A$2:$A$201,A87)&gt;1,"ID重复",IF(COUNTIF('任务登记'!$A$2:$A$201,B87)&lt;&gt;1,"任务ID无效","字段齐备"))))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10" t="str">
        <x:f>IF(COUNTA(A88:P88)=0,"",IF(OR(A88="",B88="",C88="",D88="",E88="",F88="",G88="",H88="",I88="",J88="",M88="",N88="",O88="",P88=""),"缺必填",IF(COUNTIF($A$2:$A$201,A88)&gt;1,"ID重复",IF(COUNTIF('任务登记'!$A$2:$A$201,B88)&lt;&gt;1,"任务ID无效","字段齐备"))))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10" t="str">
        <x:f>IF(COUNTA(A89:P89)=0,"",IF(OR(A89="",B89="",C89="",D89="",E89="",F89="",G89="",H89="",I89="",J89="",M89="",N89="",O89="",P89=""),"缺必填",IF(COUNTIF($A$2:$A$201,A89)&gt;1,"ID重复",IF(COUNTIF('任务登记'!$A$2:$A$201,B89)&lt;&gt;1,"任务ID无效","字段齐备"))))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10" t="str">
        <x:f>IF(COUNTA(A90:P90)=0,"",IF(OR(A90="",B90="",C90="",D90="",E90="",F90="",G90="",H90="",I90="",J90="",M90="",N90="",O90="",P90=""),"缺必填",IF(COUNTIF($A$2:$A$201,A90)&gt;1,"ID重复",IF(COUNTIF('任务登记'!$A$2:$A$201,B90)&lt;&gt;1,"任务ID无效","字段齐备"))))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10" t="str">
        <x:f>IF(COUNTA(A91:P91)=0,"",IF(OR(A91="",B91="",C91="",D91="",E91="",F91="",G91="",H91="",I91="",J91="",M91="",N91="",O91="",P91=""),"缺必填",IF(COUNTIF($A$2:$A$201,A91)&gt;1,"ID重复",IF(COUNTIF('任务登记'!$A$2:$A$201,B91)&lt;&gt;1,"任务ID无效","字段齐备"))))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10" t="str">
        <x:f>IF(COUNTA(A92:P92)=0,"",IF(OR(A92="",B92="",C92="",D92="",E92="",F92="",G92="",H92="",I92="",J92="",M92="",N92="",O92="",P92=""),"缺必填",IF(COUNTIF($A$2:$A$201,A92)&gt;1,"ID重复",IF(COUNTIF('任务登记'!$A$2:$A$201,B92)&lt;&gt;1,"任务ID无效","字段齐备"))))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10" t="str">
        <x:f>IF(COUNTA(A93:P93)=0,"",IF(OR(A93="",B93="",C93="",D93="",E93="",F93="",G93="",H93="",I93="",J93="",M93="",N93="",O93="",P93=""),"缺必填",IF(COUNTIF($A$2:$A$201,A93)&gt;1,"ID重复",IF(COUNTIF('任务登记'!$A$2:$A$201,B93)&lt;&gt;1,"任务ID无效","字段齐备"))))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10" t="str">
        <x:f>IF(COUNTA(A94:P94)=0,"",IF(OR(A94="",B94="",C94="",D94="",E94="",F94="",G94="",H94="",I94="",J94="",M94="",N94="",O94="",P94=""),"缺必填",IF(COUNTIF($A$2:$A$201,A94)&gt;1,"ID重复",IF(COUNTIF('任务登记'!$A$2:$A$201,B94)&lt;&gt;1,"任务ID无效","字段齐备"))))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10" t="str">
        <x:f>IF(COUNTA(A95:P95)=0,"",IF(OR(A95="",B95="",C95="",D95="",E95="",F95="",G95="",H95="",I95="",J95="",M95="",N95="",O95="",P95=""),"缺必填",IF(COUNTIF($A$2:$A$201,A95)&gt;1,"ID重复",IF(COUNTIF('任务登记'!$A$2:$A$201,B95)&lt;&gt;1,"任务ID无效","字段齐备"))))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10" t="str">
        <x:f>IF(COUNTA(A96:P96)=0,"",IF(OR(A96="",B96="",C96="",D96="",E96="",F96="",G96="",H96="",I96="",J96="",M96="",N96="",O96="",P96=""),"缺必填",IF(COUNTIF($A$2:$A$201,A96)&gt;1,"ID重复",IF(COUNTIF('任务登记'!$A$2:$A$201,B96)&lt;&gt;1,"任务ID无效","字段齐备"))))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10" t="str">
        <x:f>IF(COUNTA(A97:P97)=0,"",IF(OR(A97="",B97="",C97="",D97="",E97="",F97="",G97="",H97="",I97="",J97="",M97="",N97="",O97="",P97=""),"缺必填",IF(COUNTIF($A$2:$A$201,A97)&gt;1,"ID重复",IF(COUNTIF('任务登记'!$A$2:$A$201,B97)&lt;&gt;1,"任务ID无效","字段齐备"))))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10" t="str">
        <x:f>IF(COUNTA(A98:P98)=0,"",IF(OR(A98="",B98="",C98="",D98="",E98="",F98="",G98="",H98="",I98="",J98="",M98="",N98="",O98="",P98=""),"缺必填",IF(COUNTIF($A$2:$A$201,A98)&gt;1,"ID重复",IF(COUNTIF('任务登记'!$A$2:$A$201,B98)&lt;&gt;1,"任务ID无效","字段齐备"))))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10" t="str">
        <x:f>IF(COUNTA(A99:P99)=0,"",IF(OR(A99="",B99="",C99="",D99="",E99="",F99="",G99="",H99="",I99="",J99="",M99="",N99="",O99="",P99=""),"缺必填",IF(COUNTIF($A$2:$A$201,A99)&gt;1,"ID重复",IF(COUNTIF('任务登记'!$A$2:$A$201,B99)&lt;&gt;1,"任务ID无效","字段齐备"))))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10" t="str">
        <x:f>IF(COUNTA(A100:P100)=0,"",IF(OR(A100="",B100="",C100="",D100="",E100="",F100="",G100="",H100="",I100="",J100="",M100="",N100="",O100="",P100=""),"缺必填",IF(COUNTIF($A$2:$A$201,A100)&gt;1,"ID重复",IF(COUNTIF('任务登记'!$A$2:$A$201,B100)&lt;&gt;1,"任务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10" t="str">
        <x:f>IF(COUNTA(A101:P101)=0,"",IF(OR(A101="",B101="",C101="",D101="",E101="",F101="",G101="",H101="",I101="",J101="",M101="",N101="",O101="",P101=""),"缺必填",IF(COUNTIF($A$2:$A$201,A101)&gt;1,"ID重复",IF(COUNTIF('任务登记'!$A$2:$A$201,B101)&lt;&gt;1,"任务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10" t="str">
        <x:f>IF(COUNTA(A102:P102)=0,"",IF(OR(A102="",B102="",C102="",D102="",E102="",F102="",G102="",H102="",I102="",J102="",M102="",N102="",O102="",P102=""),"缺必填",IF(COUNTIF($A$2:$A$201,A102)&gt;1,"ID重复",IF(COUNTIF('任务登记'!$A$2:$A$201,B102)&lt;&gt;1,"任务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10" t="str">
        <x:f>IF(COUNTA(A103:P103)=0,"",IF(OR(A103="",B103="",C103="",D103="",E103="",F103="",G103="",H103="",I103="",J103="",M103="",N103="",O103="",P103=""),"缺必填",IF(COUNTIF($A$2:$A$201,A103)&gt;1,"ID重复",IF(COUNTIF('任务登记'!$A$2:$A$201,B103)&lt;&gt;1,"任务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10" t="str">
        <x:f>IF(COUNTA(A104:P104)=0,"",IF(OR(A104="",B104="",C104="",D104="",E104="",F104="",G104="",H104="",I104="",J104="",M104="",N104="",O104="",P104=""),"缺必填",IF(COUNTIF($A$2:$A$201,A104)&gt;1,"ID重复",IF(COUNTIF('任务登记'!$A$2:$A$201,B104)&lt;&gt;1,"任务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10" t="str">
        <x:f>IF(COUNTA(A105:P105)=0,"",IF(OR(A105="",B105="",C105="",D105="",E105="",F105="",G105="",H105="",I105="",J105="",M105="",N105="",O105="",P105=""),"缺必填",IF(COUNTIF($A$2:$A$201,A105)&gt;1,"ID重复",IF(COUNTIF('任务登记'!$A$2:$A$201,B105)&lt;&gt;1,"任务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10" t="str">
        <x:f>IF(COUNTA(A106:P106)=0,"",IF(OR(A106="",B106="",C106="",D106="",E106="",F106="",G106="",H106="",I106="",J106="",M106="",N106="",O106="",P106=""),"缺必填",IF(COUNTIF($A$2:$A$201,A106)&gt;1,"ID重复",IF(COUNTIF('任务登记'!$A$2:$A$201,B106)&lt;&gt;1,"任务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10" t="str">
        <x:f>IF(COUNTA(A107:P107)=0,"",IF(OR(A107="",B107="",C107="",D107="",E107="",F107="",G107="",H107="",I107="",J107="",M107="",N107="",O107="",P107=""),"缺必填",IF(COUNTIF($A$2:$A$201,A107)&gt;1,"ID重复",IF(COUNTIF('任务登记'!$A$2:$A$201,B107)&lt;&gt;1,"任务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10" t="str">
        <x:f>IF(COUNTA(A108:P108)=0,"",IF(OR(A108="",B108="",C108="",D108="",E108="",F108="",G108="",H108="",I108="",J108="",M108="",N108="",O108="",P108=""),"缺必填",IF(COUNTIF($A$2:$A$201,A108)&gt;1,"ID重复",IF(COUNTIF('任务登记'!$A$2:$A$201,B108)&lt;&gt;1,"任务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10" t="str">
        <x:f>IF(COUNTA(A109:P109)=0,"",IF(OR(A109="",B109="",C109="",D109="",E109="",F109="",G109="",H109="",I109="",J109="",M109="",N109="",O109="",P109=""),"缺必填",IF(COUNTIF($A$2:$A$201,A109)&gt;1,"ID重复",IF(COUNTIF('任务登记'!$A$2:$A$201,B109)&lt;&gt;1,"任务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10" t="str">
        <x:f>IF(COUNTA(A110:P110)=0,"",IF(OR(A110="",B110="",C110="",D110="",E110="",F110="",G110="",H110="",I110="",J110="",M110="",N110="",O110="",P110=""),"缺必填",IF(COUNTIF($A$2:$A$201,A110)&gt;1,"ID重复",IF(COUNTIF('任务登记'!$A$2:$A$201,B110)&lt;&gt;1,"任务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10" t="str">
        <x:f>IF(COUNTA(A111:P111)=0,"",IF(OR(A111="",B111="",C111="",D111="",E111="",F111="",G111="",H111="",I111="",J111="",M111="",N111="",O111="",P111=""),"缺必填",IF(COUNTIF($A$2:$A$201,A111)&gt;1,"ID重复",IF(COUNTIF('任务登记'!$A$2:$A$201,B111)&lt;&gt;1,"任务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10" t="str">
        <x:f>IF(COUNTA(A112:P112)=0,"",IF(OR(A112="",B112="",C112="",D112="",E112="",F112="",G112="",H112="",I112="",J112="",M112="",N112="",O112="",P112=""),"缺必填",IF(COUNTIF($A$2:$A$201,A112)&gt;1,"ID重复",IF(COUNTIF('任务登记'!$A$2:$A$201,B112)&lt;&gt;1,"任务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10" t="str">
        <x:f>IF(COUNTA(A113:P113)=0,"",IF(OR(A113="",B113="",C113="",D113="",E113="",F113="",G113="",H113="",I113="",J113="",M113="",N113="",O113="",P113=""),"缺必填",IF(COUNTIF($A$2:$A$201,A113)&gt;1,"ID重复",IF(COUNTIF('任务登记'!$A$2:$A$201,B113)&lt;&gt;1,"任务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10" t="str">
        <x:f>IF(COUNTA(A114:P114)=0,"",IF(OR(A114="",B114="",C114="",D114="",E114="",F114="",G114="",H114="",I114="",J114="",M114="",N114="",O114="",P114=""),"缺必填",IF(COUNTIF($A$2:$A$201,A114)&gt;1,"ID重复",IF(COUNTIF('任务登记'!$A$2:$A$201,B114)&lt;&gt;1,"任务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10" t="str">
        <x:f>IF(COUNTA(A115:P115)=0,"",IF(OR(A115="",B115="",C115="",D115="",E115="",F115="",G115="",H115="",I115="",J115="",M115="",N115="",O115="",P115=""),"缺必填",IF(COUNTIF($A$2:$A$201,A115)&gt;1,"ID重复",IF(COUNTIF('任务登记'!$A$2:$A$201,B115)&lt;&gt;1,"任务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10" t="str">
        <x:f>IF(COUNTA(A116:P116)=0,"",IF(OR(A116="",B116="",C116="",D116="",E116="",F116="",G116="",H116="",I116="",J116="",M116="",N116="",O116="",P116=""),"缺必填",IF(COUNTIF($A$2:$A$201,A116)&gt;1,"ID重复",IF(COUNTIF('任务登记'!$A$2:$A$201,B116)&lt;&gt;1,"任务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10" t="str">
        <x:f>IF(COUNTA(A117:P117)=0,"",IF(OR(A117="",B117="",C117="",D117="",E117="",F117="",G117="",H117="",I117="",J117="",M117="",N117="",O117="",P117=""),"缺必填",IF(COUNTIF($A$2:$A$201,A117)&gt;1,"ID重复",IF(COUNTIF('任务登记'!$A$2:$A$201,B117)&lt;&gt;1,"任务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10" t="str">
        <x:f>IF(COUNTA(A118:P118)=0,"",IF(OR(A118="",B118="",C118="",D118="",E118="",F118="",G118="",H118="",I118="",J118="",M118="",N118="",O118="",P118=""),"缺必填",IF(COUNTIF($A$2:$A$201,A118)&gt;1,"ID重复",IF(COUNTIF('任务登记'!$A$2:$A$201,B118)&lt;&gt;1,"任务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10" t="str">
        <x:f>IF(COUNTA(A119:P119)=0,"",IF(OR(A119="",B119="",C119="",D119="",E119="",F119="",G119="",H119="",I119="",J119="",M119="",N119="",O119="",P119=""),"缺必填",IF(COUNTIF($A$2:$A$201,A119)&gt;1,"ID重复",IF(COUNTIF('任务登记'!$A$2:$A$201,B119)&lt;&gt;1,"任务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10" t="str">
        <x:f>IF(COUNTA(A120:P120)=0,"",IF(OR(A120="",B120="",C120="",D120="",E120="",F120="",G120="",H120="",I120="",J120="",M120="",N120="",O120="",P120=""),"缺必填",IF(COUNTIF($A$2:$A$201,A120)&gt;1,"ID重复",IF(COUNTIF('任务登记'!$A$2:$A$201,B120)&lt;&gt;1,"任务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10" t="str">
        <x:f>IF(COUNTA(A121:P121)=0,"",IF(OR(A121="",B121="",C121="",D121="",E121="",F121="",G121="",H121="",I121="",J121="",M121="",N121="",O121="",P121=""),"缺必填",IF(COUNTIF($A$2:$A$201,A121)&gt;1,"ID重复",IF(COUNTIF('任务登记'!$A$2:$A$201,B121)&lt;&gt;1,"任务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10" t="str">
        <x:f>IF(COUNTA(A122:P122)=0,"",IF(OR(A122="",B122="",C122="",D122="",E122="",F122="",G122="",H122="",I122="",J122="",M122="",N122="",O122="",P122=""),"缺必填",IF(COUNTIF($A$2:$A$201,A122)&gt;1,"ID重复",IF(COUNTIF('任务登记'!$A$2:$A$201,B122)&lt;&gt;1,"任务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10" t="str">
        <x:f>IF(COUNTA(A123:P123)=0,"",IF(OR(A123="",B123="",C123="",D123="",E123="",F123="",G123="",H123="",I123="",J123="",M123="",N123="",O123="",P123=""),"缺必填",IF(COUNTIF($A$2:$A$201,A123)&gt;1,"ID重复",IF(COUNTIF('任务登记'!$A$2:$A$201,B123)&lt;&gt;1,"任务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10" t="str">
        <x:f>IF(COUNTA(A124:P124)=0,"",IF(OR(A124="",B124="",C124="",D124="",E124="",F124="",G124="",H124="",I124="",J124="",M124="",N124="",O124="",P124=""),"缺必填",IF(COUNTIF($A$2:$A$201,A124)&gt;1,"ID重复",IF(COUNTIF('任务登记'!$A$2:$A$201,B124)&lt;&gt;1,"任务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10" t="str">
        <x:f>IF(COUNTA(A125:P125)=0,"",IF(OR(A125="",B125="",C125="",D125="",E125="",F125="",G125="",H125="",I125="",J125="",M125="",N125="",O125="",P125=""),"缺必填",IF(COUNTIF($A$2:$A$201,A125)&gt;1,"ID重复",IF(COUNTIF('任务登记'!$A$2:$A$201,B125)&lt;&gt;1,"任务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10" t="str">
        <x:f>IF(COUNTA(A126:P126)=0,"",IF(OR(A126="",B126="",C126="",D126="",E126="",F126="",G126="",H126="",I126="",J126="",M126="",N126="",O126="",P126=""),"缺必填",IF(COUNTIF($A$2:$A$201,A126)&gt;1,"ID重复",IF(COUNTIF('任务登记'!$A$2:$A$201,B126)&lt;&gt;1,"任务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10" t="str">
        <x:f>IF(COUNTA(A127:P127)=0,"",IF(OR(A127="",B127="",C127="",D127="",E127="",F127="",G127="",H127="",I127="",J127="",M127="",N127="",O127="",P127=""),"缺必填",IF(COUNTIF($A$2:$A$201,A127)&gt;1,"ID重复",IF(COUNTIF('任务登记'!$A$2:$A$201,B127)&lt;&gt;1,"任务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10" t="str">
        <x:f>IF(COUNTA(A128:P128)=0,"",IF(OR(A128="",B128="",C128="",D128="",E128="",F128="",G128="",H128="",I128="",J128="",M128="",N128="",O128="",P128=""),"缺必填",IF(COUNTIF($A$2:$A$201,A128)&gt;1,"ID重复",IF(COUNTIF('任务登记'!$A$2:$A$201,B128)&lt;&gt;1,"任务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10" t="str">
        <x:f>IF(COUNTA(A129:P129)=0,"",IF(OR(A129="",B129="",C129="",D129="",E129="",F129="",G129="",H129="",I129="",J129="",M129="",N129="",O129="",P129=""),"缺必填",IF(COUNTIF($A$2:$A$201,A129)&gt;1,"ID重复",IF(COUNTIF('任务登记'!$A$2:$A$201,B129)&lt;&gt;1,"任务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10" t="str">
        <x:f>IF(COUNTA(A130:P130)=0,"",IF(OR(A130="",B130="",C130="",D130="",E130="",F130="",G130="",H130="",I130="",J130="",M130="",N130="",O130="",P130=""),"缺必填",IF(COUNTIF($A$2:$A$201,A130)&gt;1,"ID重复",IF(COUNTIF('任务登记'!$A$2:$A$201,B130)&lt;&gt;1,"任务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10" t="str">
        <x:f>IF(COUNTA(A131:P131)=0,"",IF(OR(A131="",B131="",C131="",D131="",E131="",F131="",G131="",H131="",I131="",J131="",M131="",N131="",O131="",P131=""),"缺必填",IF(COUNTIF($A$2:$A$201,A131)&gt;1,"ID重复",IF(COUNTIF('任务登记'!$A$2:$A$201,B131)&lt;&gt;1,"任务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10" t="str">
        <x:f>IF(COUNTA(A132:P132)=0,"",IF(OR(A132="",B132="",C132="",D132="",E132="",F132="",G132="",H132="",I132="",J132="",M132="",N132="",O132="",P132=""),"缺必填",IF(COUNTIF($A$2:$A$201,A132)&gt;1,"ID重复",IF(COUNTIF('任务登记'!$A$2:$A$201,B132)&lt;&gt;1,"任务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10" t="str">
        <x:f>IF(COUNTA(A133:P133)=0,"",IF(OR(A133="",B133="",C133="",D133="",E133="",F133="",G133="",H133="",I133="",J133="",M133="",N133="",O133="",P133=""),"缺必填",IF(COUNTIF($A$2:$A$201,A133)&gt;1,"ID重复",IF(COUNTIF('任务登记'!$A$2:$A$201,B133)&lt;&gt;1,"任务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10" t="str">
        <x:f>IF(COUNTA(A134:P134)=0,"",IF(OR(A134="",B134="",C134="",D134="",E134="",F134="",G134="",H134="",I134="",J134="",M134="",N134="",O134="",P134=""),"缺必填",IF(COUNTIF($A$2:$A$201,A134)&gt;1,"ID重复",IF(COUNTIF('任务登记'!$A$2:$A$201,B134)&lt;&gt;1,"任务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10" t="str">
        <x:f>IF(COUNTA(A135:P135)=0,"",IF(OR(A135="",B135="",C135="",D135="",E135="",F135="",G135="",H135="",I135="",J135="",M135="",N135="",O135="",P135=""),"缺必填",IF(COUNTIF($A$2:$A$201,A135)&gt;1,"ID重复",IF(COUNTIF('任务登记'!$A$2:$A$201,B135)&lt;&gt;1,"任务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10" t="str">
        <x:f>IF(COUNTA(A136:P136)=0,"",IF(OR(A136="",B136="",C136="",D136="",E136="",F136="",G136="",H136="",I136="",J136="",M136="",N136="",O136="",P136=""),"缺必填",IF(COUNTIF($A$2:$A$201,A136)&gt;1,"ID重复",IF(COUNTIF('任务登记'!$A$2:$A$201,B136)&lt;&gt;1,"任务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10" t="str">
        <x:f>IF(COUNTA(A137:P137)=0,"",IF(OR(A137="",B137="",C137="",D137="",E137="",F137="",G137="",H137="",I137="",J137="",M137="",N137="",O137="",P137=""),"缺必填",IF(COUNTIF($A$2:$A$201,A137)&gt;1,"ID重复",IF(COUNTIF('任务登记'!$A$2:$A$201,B137)&lt;&gt;1,"任务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10" t="str">
        <x:f>IF(COUNTA(A138:P138)=0,"",IF(OR(A138="",B138="",C138="",D138="",E138="",F138="",G138="",H138="",I138="",J138="",M138="",N138="",O138="",P138=""),"缺必填",IF(COUNTIF($A$2:$A$201,A138)&gt;1,"ID重复",IF(COUNTIF('任务登记'!$A$2:$A$201,B138)&lt;&gt;1,"任务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10" t="str">
        <x:f>IF(COUNTA(A139:P139)=0,"",IF(OR(A139="",B139="",C139="",D139="",E139="",F139="",G139="",H139="",I139="",J139="",M139="",N139="",O139="",P139=""),"缺必填",IF(COUNTIF($A$2:$A$201,A139)&gt;1,"ID重复",IF(COUNTIF('任务登记'!$A$2:$A$201,B139)&lt;&gt;1,"任务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10" t="str">
        <x:f>IF(COUNTA(A140:P140)=0,"",IF(OR(A140="",B140="",C140="",D140="",E140="",F140="",G140="",H140="",I140="",J140="",M140="",N140="",O140="",P140=""),"缺必填",IF(COUNTIF($A$2:$A$201,A140)&gt;1,"ID重复",IF(COUNTIF('任务登记'!$A$2:$A$201,B140)&lt;&gt;1,"任务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10" t="str">
        <x:f>IF(COUNTA(A141:P141)=0,"",IF(OR(A141="",B141="",C141="",D141="",E141="",F141="",G141="",H141="",I141="",J141="",M141="",N141="",O141="",P141=""),"缺必填",IF(COUNTIF($A$2:$A$201,A141)&gt;1,"ID重复",IF(COUNTIF('任务登记'!$A$2:$A$201,B141)&lt;&gt;1,"任务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10" t="str">
        <x:f>IF(COUNTA(A142:P142)=0,"",IF(OR(A142="",B142="",C142="",D142="",E142="",F142="",G142="",H142="",I142="",J142="",M142="",N142="",O142="",P142=""),"缺必填",IF(COUNTIF($A$2:$A$201,A142)&gt;1,"ID重复",IF(COUNTIF('任务登记'!$A$2:$A$201,B142)&lt;&gt;1,"任务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10" t="str">
        <x:f>IF(COUNTA(A143:P143)=0,"",IF(OR(A143="",B143="",C143="",D143="",E143="",F143="",G143="",H143="",I143="",J143="",M143="",N143="",O143="",P143=""),"缺必填",IF(COUNTIF($A$2:$A$201,A143)&gt;1,"ID重复",IF(COUNTIF('任务登记'!$A$2:$A$201,B143)&lt;&gt;1,"任务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10" t="str">
        <x:f>IF(COUNTA(A144:P144)=0,"",IF(OR(A144="",B144="",C144="",D144="",E144="",F144="",G144="",H144="",I144="",J144="",M144="",N144="",O144="",P144=""),"缺必填",IF(COUNTIF($A$2:$A$201,A144)&gt;1,"ID重复",IF(COUNTIF('任务登记'!$A$2:$A$201,B144)&lt;&gt;1,"任务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10" t="str">
        <x:f>IF(COUNTA(A145:P145)=0,"",IF(OR(A145="",B145="",C145="",D145="",E145="",F145="",G145="",H145="",I145="",J145="",M145="",N145="",O145="",P145=""),"缺必填",IF(COUNTIF($A$2:$A$201,A145)&gt;1,"ID重复",IF(COUNTIF('任务登记'!$A$2:$A$201,B145)&lt;&gt;1,"任务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10" t="str">
        <x:f>IF(COUNTA(A146:P146)=0,"",IF(OR(A146="",B146="",C146="",D146="",E146="",F146="",G146="",H146="",I146="",J146="",M146="",N146="",O146="",P146=""),"缺必填",IF(COUNTIF($A$2:$A$201,A146)&gt;1,"ID重复",IF(COUNTIF('任务登记'!$A$2:$A$201,B146)&lt;&gt;1,"任务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10" t="str">
        <x:f>IF(COUNTA(A147:P147)=0,"",IF(OR(A147="",B147="",C147="",D147="",E147="",F147="",G147="",H147="",I147="",J147="",M147="",N147="",O147="",P147=""),"缺必填",IF(COUNTIF($A$2:$A$201,A147)&gt;1,"ID重复",IF(COUNTIF('任务登记'!$A$2:$A$201,B147)&lt;&gt;1,"任务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10" t="str">
        <x:f>IF(COUNTA(A148:P148)=0,"",IF(OR(A148="",B148="",C148="",D148="",E148="",F148="",G148="",H148="",I148="",J148="",M148="",N148="",O148="",P148=""),"缺必填",IF(COUNTIF($A$2:$A$201,A148)&gt;1,"ID重复",IF(COUNTIF('任务登记'!$A$2:$A$201,B148)&lt;&gt;1,"任务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10" t="str">
        <x:f>IF(COUNTA(A149:P149)=0,"",IF(OR(A149="",B149="",C149="",D149="",E149="",F149="",G149="",H149="",I149="",J149="",M149="",N149="",O149="",P149=""),"缺必填",IF(COUNTIF($A$2:$A$201,A149)&gt;1,"ID重复",IF(COUNTIF('任务登记'!$A$2:$A$201,B149)&lt;&gt;1,"任务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10" t="str">
        <x:f>IF(COUNTA(A150:P150)=0,"",IF(OR(A150="",B150="",C150="",D150="",E150="",F150="",G150="",H150="",I150="",J150="",M150="",N150="",O150="",P150=""),"缺必填",IF(COUNTIF($A$2:$A$201,A150)&gt;1,"ID重复",IF(COUNTIF('任务登记'!$A$2:$A$201,B150)&lt;&gt;1,"任务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10" t="str">
        <x:f>IF(COUNTA(A151:P151)=0,"",IF(OR(A151="",B151="",C151="",D151="",E151="",F151="",G151="",H151="",I151="",J151="",M151="",N151="",O151="",P151=""),"缺必填",IF(COUNTIF($A$2:$A$201,A151)&gt;1,"ID重复",IF(COUNTIF('任务登记'!$A$2:$A$201,B151)&lt;&gt;1,"任务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10" t="str">
        <x:f>IF(COUNTA(A152:P152)=0,"",IF(OR(A152="",B152="",C152="",D152="",E152="",F152="",G152="",H152="",I152="",J152="",M152="",N152="",O152="",P152=""),"缺必填",IF(COUNTIF($A$2:$A$201,A152)&gt;1,"ID重复",IF(COUNTIF('任务登记'!$A$2:$A$201,B152)&lt;&gt;1,"任务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10" t="str">
        <x:f>IF(COUNTA(A153:P153)=0,"",IF(OR(A153="",B153="",C153="",D153="",E153="",F153="",G153="",H153="",I153="",J153="",M153="",N153="",O153="",P153=""),"缺必填",IF(COUNTIF($A$2:$A$201,A153)&gt;1,"ID重复",IF(COUNTIF('任务登记'!$A$2:$A$201,B153)&lt;&gt;1,"任务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10" t="str">
        <x:f>IF(COUNTA(A154:P154)=0,"",IF(OR(A154="",B154="",C154="",D154="",E154="",F154="",G154="",H154="",I154="",J154="",M154="",N154="",O154="",P154=""),"缺必填",IF(COUNTIF($A$2:$A$201,A154)&gt;1,"ID重复",IF(COUNTIF('任务登记'!$A$2:$A$201,B154)&lt;&gt;1,"任务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10" t="str">
        <x:f>IF(COUNTA(A155:P155)=0,"",IF(OR(A155="",B155="",C155="",D155="",E155="",F155="",G155="",H155="",I155="",J155="",M155="",N155="",O155="",P155=""),"缺必填",IF(COUNTIF($A$2:$A$201,A155)&gt;1,"ID重复",IF(COUNTIF('任务登记'!$A$2:$A$201,B155)&lt;&gt;1,"任务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10" t="str">
        <x:f>IF(COUNTA(A156:P156)=0,"",IF(OR(A156="",B156="",C156="",D156="",E156="",F156="",G156="",H156="",I156="",J156="",M156="",N156="",O156="",P156=""),"缺必填",IF(COUNTIF($A$2:$A$201,A156)&gt;1,"ID重复",IF(COUNTIF('任务登记'!$A$2:$A$201,B156)&lt;&gt;1,"任务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10" t="str">
        <x:f>IF(COUNTA(A157:P157)=0,"",IF(OR(A157="",B157="",C157="",D157="",E157="",F157="",G157="",H157="",I157="",J157="",M157="",N157="",O157="",P157=""),"缺必填",IF(COUNTIF($A$2:$A$201,A157)&gt;1,"ID重复",IF(COUNTIF('任务登记'!$A$2:$A$201,B157)&lt;&gt;1,"任务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10" t="str">
        <x:f>IF(COUNTA(A158:P158)=0,"",IF(OR(A158="",B158="",C158="",D158="",E158="",F158="",G158="",H158="",I158="",J158="",M158="",N158="",O158="",P158=""),"缺必填",IF(COUNTIF($A$2:$A$201,A158)&gt;1,"ID重复",IF(COUNTIF('任务登记'!$A$2:$A$201,B158)&lt;&gt;1,"任务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10" t="str">
        <x:f>IF(COUNTA(A159:P159)=0,"",IF(OR(A159="",B159="",C159="",D159="",E159="",F159="",G159="",H159="",I159="",J159="",M159="",N159="",O159="",P159=""),"缺必填",IF(COUNTIF($A$2:$A$201,A159)&gt;1,"ID重复",IF(COUNTIF('任务登记'!$A$2:$A$201,B159)&lt;&gt;1,"任务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10" t="str">
        <x:f>IF(COUNTA(A160:P160)=0,"",IF(OR(A160="",B160="",C160="",D160="",E160="",F160="",G160="",H160="",I160="",J160="",M160="",N160="",O160="",P160=""),"缺必填",IF(COUNTIF($A$2:$A$201,A160)&gt;1,"ID重复",IF(COUNTIF('任务登记'!$A$2:$A$201,B160)&lt;&gt;1,"任务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10" t="str">
        <x:f>IF(COUNTA(A161:P161)=0,"",IF(OR(A161="",B161="",C161="",D161="",E161="",F161="",G161="",H161="",I161="",J161="",M161="",N161="",O161="",P161=""),"缺必填",IF(COUNTIF($A$2:$A$201,A161)&gt;1,"ID重复",IF(COUNTIF('任务登记'!$A$2:$A$201,B161)&lt;&gt;1,"任务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10" t="str">
        <x:f>IF(COUNTA(A162:P162)=0,"",IF(OR(A162="",B162="",C162="",D162="",E162="",F162="",G162="",H162="",I162="",J162="",M162="",N162="",O162="",P162=""),"缺必填",IF(COUNTIF($A$2:$A$201,A162)&gt;1,"ID重复",IF(COUNTIF('任务登记'!$A$2:$A$201,B162)&lt;&gt;1,"任务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10" t="str">
        <x:f>IF(COUNTA(A163:P163)=0,"",IF(OR(A163="",B163="",C163="",D163="",E163="",F163="",G163="",H163="",I163="",J163="",M163="",N163="",O163="",P163=""),"缺必填",IF(COUNTIF($A$2:$A$201,A163)&gt;1,"ID重复",IF(COUNTIF('任务登记'!$A$2:$A$201,B163)&lt;&gt;1,"任务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10" t="str">
        <x:f>IF(COUNTA(A164:P164)=0,"",IF(OR(A164="",B164="",C164="",D164="",E164="",F164="",G164="",H164="",I164="",J164="",M164="",N164="",O164="",P164=""),"缺必填",IF(COUNTIF($A$2:$A$201,A164)&gt;1,"ID重复",IF(COUNTIF('任务登记'!$A$2:$A$201,B164)&lt;&gt;1,"任务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10" t="str">
        <x:f>IF(COUNTA(A165:P165)=0,"",IF(OR(A165="",B165="",C165="",D165="",E165="",F165="",G165="",H165="",I165="",J165="",M165="",N165="",O165="",P165=""),"缺必填",IF(COUNTIF($A$2:$A$201,A165)&gt;1,"ID重复",IF(COUNTIF('任务登记'!$A$2:$A$201,B165)&lt;&gt;1,"任务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10" t="str">
        <x:f>IF(COUNTA(A166:P166)=0,"",IF(OR(A166="",B166="",C166="",D166="",E166="",F166="",G166="",H166="",I166="",J166="",M166="",N166="",O166="",P166=""),"缺必填",IF(COUNTIF($A$2:$A$201,A166)&gt;1,"ID重复",IF(COUNTIF('任务登记'!$A$2:$A$201,B166)&lt;&gt;1,"任务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10" t="str">
        <x:f>IF(COUNTA(A167:P167)=0,"",IF(OR(A167="",B167="",C167="",D167="",E167="",F167="",G167="",H167="",I167="",J167="",M167="",N167="",O167="",P167=""),"缺必填",IF(COUNTIF($A$2:$A$201,A167)&gt;1,"ID重复",IF(COUNTIF('任务登记'!$A$2:$A$201,B167)&lt;&gt;1,"任务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10" t="str">
        <x:f>IF(COUNTA(A168:P168)=0,"",IF(OR(A168="",B168="",C168="",D168="",E168="",F168="",G168="",H168="",I168="",J168="",M168="",N168="",O168="",P168=""),"缺必填",IF(COUNTIF($A$2:$A$201,A168)&gt;1,"ID重复",IF(COUNTIF('任务登记'!$A$2:$A$201,B168)&lt;&gt;1,"任务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10" t="str">
        <x:f>IF(COUNTA(A169:P169)=0,"",IF(OR(A169="",B169="",C169="",D169="",E169="",F169="",G169="",H169="",I169="",J169="",M169="",N169="",O169="",P169=""),"缺必填",IF(COUNTIF($A$2:$A$201,A169)&gt;1,"ID重复",IF(COUNTIF('任务登记'!$A$2:$A$201,B169)&lt;&gt;1,"任务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10" t="str">
        <x:f>IF(COUNTA(A170:P170)=0,"",IF(OR(A170="",B170="",C170="",D170="",E170="",F170="",G170="",H170="",I170="",J170="",M170="",N170="",O170="",P170=""),"缺必填",IF(COUNTIF($A$2:$A$201,A170)&gt;1,"ID重复",IF(COUNTIF('任务登记'!$A$2:$A$201,B170)&lt;&gt;1,"任务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10" t="str">
        <x:f>IF(COUNTA(A171:P171)=0,"",IF(OR(A171="",B171="",C171="",D171="",E171="",F171="",G171="",H171="",I171="",J171="",M171="",N171="",O171="",P171=""),"缺必填",IF(COUNTIF($A$2:$A$201,A171)&gt;1,"ID重复",IF(COUNTIF('任务登记'!$A$2:$A$201,B171)&lt;&gt;1,"任务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10" t="str">
        <x:f>IF(COUNTA(A172:P172)=0,"",IF(OR(A172="",B172="",C172="",D172="",E172="",F172="",G172="",H172="",I172="",J172="",M172="",N172="",O172="",P172=""),"缺必填",IF(COUNTIF($A$2:$A$201,A172)&gt;1,"ID重复",IF(COUNTIF('任务登记'!$A$2:$A$201,B172)&lt;&gt;1,"任务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10" t="str">
        <x:f>IF(COUNTA(A173:P173)=0,"",IF(OR(A173="",B173="",C173="",D173="",E173="",F173="",G173="",H173="",I173="",J173="",M173="",N173="",O173="",P173=""),"缺必填",IF(COUNTIF($A$2:$A$201,A173)&gt;1,"ID重复",IF(COUNTIF('任务登记'!$A$2:$A$201,B173)&lt;&gt;1,"任务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10" t="str">
        <x:f>IF(COUNTA(A174:P174)=0,"",IF(OR(A174="",B174="",C174="",D174="",E174="",F174="",G174="",H174="",I174="",J174="",M174="",N174="",O174="",P174=""),"缺必填",IF(COUNTIF($A$2:$A$201,A174)&gt;1,"ID重复",IF(COUNTIF('任务登记'!$A$2:$A$201,B174)&lt;&gt;1,"任务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10" t="str">
        <x:f>IF(COUNTA(A175:P175)=0,"",IF(OR(A175="",B175="",C175="",D175="",E175="",F175="",G175="",H175="",I175="",J175="",M175="",N175="",O175="",P175=""),"缺必填",IF(COUNTIF($A$2:$A$201,A175)&gt;1,"ID重复",IF(COUNTIF('任务登记'!$A$2:$A$201,B175)&lt;&gt;1,"任务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10" t="str">
        <x:f>IF(COUNTA(A176:P176)=0,"",IF(OR(A176="",B176="",C176="",D176="",E176="",F176="",G176="",H176="",I176="",J176="",M176="",N176="",O176="",P176=""),"缺必填",IF(COUNTIF($A$2:$A$201,A176)&gt;1,"ID重复",IF(COUNTIF('任务登记'!$A$2:$A$201,B176)&lt;&gt;1,"任务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10" t="str">
        <x:f>IF(COUNTA(A177:P177)=0,"",IF(OR(A177="",B177="",C177="",D177="",E177="",F177="",G177="",H177="",I177="",J177="",M177="",N177="",O177="",P177=""),"缺必填",IF(COUNTIF($A$2:$A$201,A177)&gt;1,"ID重复",IF(COUNTIF('任务登记'!$A$2:$A$201,B177)&lt;&gt;1,"任务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10" t="str">
        <x:f>IF(COUNTA(A178:P178)=0,"",IF(OR(A178="",B178="",C178="",D178="",E178="",F178="",G178="",H178="",I178="",J178="",M178="",N178="",O178="",P178=""),"缺必填",IF(COUNTIF($A$2:$A$201,A178)&gt;1,"ID重复",IF(COUNTIF('任务登记'!$A$2:$A$201,B178)&lt;&gt;1,"任务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10" t="str">
        <x:f>IF(COUNTA(A179:P179)=0,"",IF(OR(A179="",B179="",C179="",D179="",E179="",F179="",G179="",H179="",I179="",J179="",M179="",N179="",O179="",P179=""),"缺必填",IF(COUNTIF($A$2:$A$201,A179)&gt;1,"ID重复",IF(COUNTIF('任务登记'!$A$2:$A$201,B179)&lt;&gt;1,"任务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10" t="str">
        <x:f>IF(COUNTA(A180:P180)=0,"",IF(OR(A180="",B180="",C180="",D180="",E180="",F180="",G180="",H180="",I180="",J180="",M180="",N180="",O180="",P180=""),"缺必填",IF(COUNTIF($A$2:$A$201,A180)&gt;1,"ID重复",IF(COUNTIF('任务登记'!$A$2:$A$201,B180)&lt;&gt;1,"任务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10" t="str">
        <x:f>IF(COUNTA(A181:P181)=0,"",IF(OR(A181="",B181="",C181="",D181="",E181="",F181="",G181="",H181="",I181="",J181="",M181="",N181="",O181="",P181=""),"缺必填",IF(COUNTIF($A$2:$A$201,A181)&gt;1,"ID重复",IF(COUNTIF('任务登记'!$A$2:$A$201,B181)&lt;&gt;1,"任务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10" t="str">
        <x:f>IF(COUNTA(A182:P182)=0,"",IF(OR(A182="",B182="",C182="",D182="",E182="",F182="",G182="",H182="",I182="",J182="",M182="",N182="",O182="",P182=""),"缺必填",IF(COUNTIF($A$2:$A$201,A182)&gt;1,"ID重复",IF(COUNTIF('任务登记'!$A$2:$A$201,B182)&lt;&gt;1,"任务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10" t="str">
        <x:f>IF(COUNTA(A183:P183)=0,"",IF(OR(A183="",B183="",C183="",D183="",E183="",F183="",G183="",H183="",I183="",J183="",M183="",N183="",O183="",P183=""),"缺必填",IF(COUNTIF($A$2:$A$201,A183)&gt;1,"ID重复",IF(COUNTIF('任务登记'!$A$2:$A$201,B183)&lt;&gt;1,"任务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10" t="str">
        <x:f>IF(COUNTA(A184:P184)=0,"",IF(OR(A184="",B184="",C184="",D184="",E184="",F184="",G184="",H184="",I184="",J184="",M184="",N184="",O184="",P184=""),"缺必填",IF(COUNTIF($A$2:$A$201,A184)&gt;1,"ID重复",IF(COUNTIF('任务登记'!$A$2:$A$201,B184)&lt;&gt;1,"任务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10" t="str">
        <x:f>IF(COUNTA(A185:P185)=0,"",IF(OR(A185="",B185="",C185="",D185="",E185="",F185="",G185="",H185="",I185="",J185="",M185="",N185="",O185="",P185=""),"缺必填",IF(COUNTIF($A$2:$A$201,A185)&gt;1,"ID重复",IF(COUNTIF('任务登记'!$A$2:$A$201,B185)&lt;&gt;1,"任务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10" t="str">
        <x:f>IF(COUNTA(A186:P186)=0,"",IF(OR(A186="",B186="",C186="",D186="",E186="",F186="",G186="",H186="",I186="",J186="",M186="",N186="",O186="",P186=""),"缺必填",IF(COUNTIF($A$2:$A$201,A186)&gt;1,"ID重复",IF(COUNTIF('任务登记'!$A$2:$A$201,B186)&lt;&gt;1,"任务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10" t="str">
        <x:f>IF(COUNTA(A187:P187)=0,"",IF(OR(A187="",B187="",C187="",D187="",E187="",F187="",G187="",H187="",I187="",J187="",M187="",N187="",O187="",P187=""),"缺必填",IF(COUNTIF($A$2:$A$201,A187)&gt;1,"ID重复",IF(COUNTIF('任务登记'!$A$2:$A$201,B187)&lt;&gt;1,"任务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10" t="str">
        <x:f>IF(COUNTA(A188:P188)=0,"",IF(OR(A188="",B188="",C188="",D188="",E188="",F188="",G188="",H188="",I188="",J188="",M188="",N188="",O188="",P188=""),"缺必填",IF(COUNTIF($A$2:$A$201,A188)&gt;1,"ID重复",IF(COUNTIF('任务登记'!$A$2:$A$201,B188)&lt;&gt;1,"任务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10" t="str">
        <x:f>IF(COUNTA(A189:P189)=0,"",IF(OR(A189="",B189="",C189="",D189="",E189="",F189="",G189="",H189="",I189="",J189="",M189="",N189="",O189="",P189=""),"缺必填",IF(COUNTIF($A$2:$A$201,A189)&gt;1,"ID重复",IF(COUNTIF('任务登记'!$A$2:$A$201,B189)&lt;&gt;1,"任务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10" t="str">
        <x:f>IF(COUNTA(A190:P190)=0,"",IF(OR(A190="",B190="",C190="",D190="",E190="",F190="",G190="",H190="",I190="",J190="",M190="",N190="",O190="",P190=""),"缺必填",IF(COUNTIF($A$2:$A$201,A190)&gt;1,"ID重复",IF(COUNTIF('任务登记'!$A$2:$A$201,B190)&lt;&gt;1,"任务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10" t="str">
        <x:f>IF(COUNTA(A191:P191)=0,"",IF(OR(A191="",B191="",C191="",D191="",E191="",F191="",G191="",H191="",I191="",J191="",M191="",N191="",O191="",P191=""),"缺必填",IF(COUNTIF($A$2:$A$201,A191)&gt;1,"ID重复",IF(COUNTIF('任务登记'!$A$2:$A$201,B191)&lt;&gt;1,"任务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10" t="str">
        <x:f>IF(COUNTA(A192:P192)=0,"",IF(OR(A192="",B192="",C192="",D192="",E192="",F192="",G192="",H192="",I192="",J192="",M192="",N192="",O192="",P192=""),"缺必填",IF(COUNTIF($A$2:$A$201,A192)&gt;1,"ID重复",IF(COUNTIF('任务登记'!$A$2:$A$201,B192)&lt;&gt;1,"任务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10" t="str">
        <x:f>IF(COUNTA(A193:P193)=0,"",IF(OR(A193="",B193="",C193="",D193="",E193="",F193="",G193="",H193="",I193="",J193="",M193="",N193="",O193="",P193=""),"缺必填",IF(COUNTIF($A$2:$A$201,A193)&gt;1,"ID重复",IF(COUNTIF('任务登记'!$A$2:$A$201,B193)&lt;&gt;1,"任务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10" t="str">
        <x:f>IF(COUNTA(A194:P194)=0,"",IF(OR(A194="",B194="",C194="",D194="",E194="",F194="",G194="",H194="",I194="",J194="",M194="",N194="",O194="",P194=""),"缺必填",IF(COUNTIF($A$2:$A$201,A194)&gt;1,"ID重复",IF(COUNTIF('任务登记'!$A$2:$A$201,B194)&lt;&gt;1,"任务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10" t="str">
        <x:f>IF(COUNTA(A195:P195)=0,"",IF(OR(A195="",B195="",C195="",D195="",E195="",F195="",G195="",H195="",I195="",J195="",M195="",N195="",O195="",P195=""),"缺必填",IF(COUNTIF($A$2:$A$201,A195)&gt;1,"ID重复",IF(COUNTIF('任务登记'!$A$2:$A$201,B195)&lt;&gt;1,"任务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10" t="str">
        <x:f>IF(COUNTA(A196:P196)=0,"",IF(OR(A196="",B196="",C196="",D196="",E196="",F196="",G196="",H196="",I196="",J196="",M196="",N196="",O196="",P196=""),"缺必填",IF(COUNTIF($A$2:$A$201,A196)&gt;1,"ID重复",IF(COUNTIF('任务登记'!$A$2:$A$201,B196)&lt;&gt;1,"任务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10" t="str">
        <x:f>IF(COUNTA(A197:P197)=0,"",IF(OR(A197="",B197="",C197="",D197="",E197="",F197="",G197="",H197="",I197="",J197="",M197="",N197="",O197="",P197=""),"缺必填",IF(COUNTIF($A$2:$A$201,A197)&gt;1,"ID重复",IF(COUNTIF('任务登记'!$A$2:$A$201,B197)&lt;&gt;1,"任务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10" t="str">
        <x:f>IF(COUNTA(A198:P198)=0,"",IF(OR(A198="",B198="",C198="",D198="",E198="",F198="",G198="",H198="",I198="",J198="",M198="",N198="",O198="",P198=""),"缺必填",IF(COUNTIF($A$2:$A$201,A198)&gt;1,"ID重复",IF(COUNTIF('任务登记'!$A$2:$A$201,B198)&lt;&gt;1,"任务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10" t="str">
        <x:f>IF(COUNTA(A199:P199)=0,"",IF(OR(A199="",B199="",C199="",D199="",E199="",F199="",G199="",H199="",I199="",J199="",M199="",N199="",O199="",P199=""),"缺必填",IF(COUNTIF($A$2:$A$201,A199)&gt;1,"ID重复",IF(COUNTIF('任务登记'!$A$2:$A$201,B199)&lt;&gt;1,"任务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10" t="str">
        <x:f>IF(COUNTA(A200:P200)=0,"",IF(OR(A200="",B200="",C200="",D200="",E200="",F200="",G200="",H200="",I200="",J200="",M200="",N200="",O200="",P200=""),"缺必填",IF(COUNTIF($A$2:$A$201,A200)&gt;1,"ID重复",IF(COUNTIF('任务登记'!$A$2:$A$201,B200)&lt;&gt;1,"任务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10" t="str">
        <x:f>IF(COUNTA(A201:P201)=0,"",IF(OR(A201="",B201="",C201="",D201="",E201="",F201="",G201="",H201="",I201="",J201="",M201="",N201="",O201="",P201=""),"缺必填",IF(COUNTIF($A$2:$A$201,A201)&gt;1,"ID重复",IF(COUNTIF('任务登记'!$A$2:$A$201,B201)&lt;&gt;1,"任务ID无效","字段齐备"))))</x:f>
      </x:c>
    </x:row>
  </x:sheetData>
  <x:conditionalFormatting sqref="A2:Q201">
    <x:cfRule type="expression" dxfId="8" priority="1">
      <x:formula>AND($Q2&lt;&gt;"",$Q2&lt;&gt;"字段齐备")</x:formula>
    </x:cfRule>
  </x:conditionalFormatting>
  <x:dataValidations count="3">
    <x:dataValidation type="list" sqref="F2:F201">
      <x:formula1>"帮信罪,掩隐罪,诈骗罪,其他罪名,非刑事路径,尚不能判断"</x:formula1>
    </x:dataValidation>
    <x:dataValidation type="list" sqref="H2:H201">
      <x:formula1>"他人利用信息网络实施犯罪,犯罪所得及其收益,诈骗及共同分工,其他要件"</x:formula1>
    </x:dataValidation>
    <x:dataValidation type="list" sqref="J2:J201">
      <x:formula1>"材料支持,材料反对,存在冲突,信息不足,不适用"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28dd6d899d4a5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4" hidden="0" customWidth="1"/>
    <x:col min="9" max="9" width="44" hidden="0" customWidth="1"/>
    <x:col min="10" max="10" width="30" hidden="0" customWidth="1"/>
    <x:col min="11" max="11" width="22" hidden="0" customWidth="1"/>
    <x:col min="12" max="12" width="22" hidden="0" customWidth="1"/>
    <x:col min="13" max="13" width="44" hidden="0" customWidth="1"/>
    <x:col min="14" max="14" width="20" hidden="0" customWidth="1"/>
  </x:cols>
  <x:sheetData>
    <x:row r="1" ht="52" customHeight="1">
      <x:c r="A1" s="6" t="str">
        <x:v>论证记录ID</x:v>
      </x:c>
      <x:c r="B1" s="6" t="str">
        <x:v>任务ID</x:v>
      </x:c>
      <x:c r="C1" s="6" t="str">
        <x:v>论证ID</x:v>
      </x:c>
      <x:c r="D1" s="6" t="str">
        <x:v>目标ID</x:v>
      </x:c>
      <x:c r="E1" s="6" t="str">
        <x:v>论证版本</x:v>
      </x:c>
      <x:c r="F1" s="6" t="str">
        <x:v>结论文本</x:v>
      </x:c>
      <x:c r="G1" s="6" t="str">
        <x:v>核心推断根据</x:v>
      </x:c>
      <x:c r="H1" s="6" t="str">
        <x:v>必要前提</x:v>
      </x:c>
      <x:c r="I1" s="6" t="str">
        <x:v>可调整前提</x:v>
      </x:c>
      <x:c r="J1" s="6" t="str">
        <x:v>依赖片段ID</x:v>
      </x:c>
      <x:c r="K1" s="6" t="str">
        <x:v>相反解释与限制</x:v>
      </x:c>
      <x:c r="L1" s="6" t="str">
        <x:v>来源论证ID</x:v>
      </x:c>
      <x:c r="M1" s="6" t="str">
        <x:v>身份判断依据</x:v>
      </x:c>
      <x:c r="N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10" t="str">
        <x:f>IF(COUNTA(A2:M2)=0,"",IF(OR(A2="",B2="",C2="",D2="",E2="",F2="",G2="",H2="",J2="",K2="",M2=""),"缺必填",IF(COUNTIF($A$2:$A$201,A2)&gt;1,"ID重复",IF(COUNTIF('任务登记'!$A$2:$A$201,B2)&lt;&gt;1,"任务ID无效","字段齐备"))))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10" t="str">
        <x:f>IF(COUNTA(A3:M3)=0,"",IF(OR(A3="",B3="",C3="",D3="",E3="",F3="",G3="",H3="",J3="",K3="",M3=""),"缺必填",IF(COUNTIF($A$2:$A$201,A3)&gt;1,"ID重复",IF(COUNTIF('任务登记'!$A$2:$A$201,B3)&lt;&gt;1,"任务ID无效","字段齐备"))))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10" t="str">
        <x:f>IF(COUNTA(A4:M4)=0,"",IF(OR(A4="",B4="",C4="",D4="",E4="",F4="",G4="",H4="",J4="",K4="",M4=""),"缺必填",IF(COUNTIF($A$2:$A$201,A4)&gt;1,"ID重复",IF(COUNTIF('任务登记'!$A$2:$A$201,B4)&lt;&gt;1,"任务ID无效","字段齐备"))))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10" t="str">
        <x:f>IF(COUNTA(A5:M5)=0,"",IF(OR(A5="",B5="",C5="",D5="",E5="",F5="",G5="",H5="",J5="",K5="",M5=""),"缺必填",IF(COUNTIF($A$2:$A$201,A5)&gt;1,"ID重复",IF(COUNTIF('任务登记'!$A$2:$A$201,B5)&lt;&gt;1,"任务ID无效","字段齐备"))))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10" t="str">
        <x:f>IF(COUNTA(A6:M6)=0,"",IF(OR(A6="",B6="",C6="",D6="",E6="",F6="",G6="",H6="",J6="",K6="",M6=""),"缺必填",IF(COUNTIF($A$2:$A$201,A6)&gt;1,"ID重复",IF(COUNTIF('任务登记'!$A$2:$A$201,B6)&lt;&gt;1,"任务ID无效","字段齐备"))))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10" t="str">
        <x:f>IF(COUNTA(A7:M7)=0,"",IF(OR(A7="",B7="",C7="",D7="",E7="",F7="",G7="",H7="",J7="",K7="",M7=""),"缺必填",IF(COUNTIF($A$2:$A$201,A7)&gt;1,"ID重复",IF(COUNTIF('任务登记'!$A$2:$A$201,B7)&lt;&gt;1,"任务ID无效","字段齐备"))))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10" t="str">
        <x:f>IF(COUNTA(A8:M8)=0,"",IF(OR(A8="",B8="",C8="",D8="",E8="",F8="",G8="",H8="",J8="",K8="",M8=""),"缺必填",IF(COUNTIF($A$2:$A$201,A8)&gt;1,"ID重复",IF(COUNTIF('任务登记'!$A$2:$A$201,B8)&lt;&gt;1,"任务ID无效","字段齐备"))))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10" t="str">
        <x:f>IF(COUNTA(A9:M9)=0,"",IF(OR(A9="",B9="",C9="",D9="",E9="",F9="",G9="",H9="",J9="",K9="",M9=""),"缺必填",IF(COUNTIF($A$2:$A$201,A9)&gt;1,"ID重复",IF(COUNTIF('任务登记'!$A$2:$A$201,B9)&lt;&gt;1,"任务ID无效","字段齐备"))))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10" t="str">
        <x:f>IF(COUNTA(A10:M10)=0,"",IF(OR(A10="",B10="",C10="",D10="",E10="",F10="",G10="",H10="",J10="",K10="",M10=""),"缺必填",IF(COUNTIF($A$2:$A$201,A10)&gt;1,"ID重复",IF(COUNTIF('任务登记'!$A$2:$A$201,B10)&lt;&gt;1,"任务ID无效","字段齐备"))))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10" t="str">
        <x:f>IF(COUNTA(A11:M11)=0,"",IF(OR(A11="",B11="",C11="",D11="",E11="",F11="",G11="",H11="",J11="",K11="",M11=""),"缺必填",IF(COUNTIF($A$2:$A$201,A11)&gt;1,"ID重复",IF(COUNTIF('任务登记'!$A$2:$A$201,B11)&lt;&gt;1,"任务ID无效","字段齐备"))))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10" t="str">
        <x:f>IF(COUNTA(A12:M12)=0,"",IF(OR(A12="",B12="",C12="",D12="",E12="",F12="",G12="",H12="",J12="",K12="",M12=""),"缺必填",IF(COUNTIF($A$2:$A$201,A12)&gt;1,"ID重复",IF(COUNTIF('任务登记'!$A$2:$A$201,B12)&lt;&gt;1,"任务ID无效","字段齐备"))))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10" t="str">
        <x:f>IF(COUNTA(A13:M13)=0,"",IF(OR(A13="",B13="",C13="",D13="",E13="",F13="",G13="",H13="",J13="",K13="",M13=""),"缺必填",IF(COUNTIF($A$2:$A$201,A13)&gt;1,"ID重复",IF(COUNTIF('任务登记'!$A$2:$A$201,B13)&lt;&gt;1,"任务ID无效","字段齐备"))))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10" t="str">
        <x:f>IF(COUNTA(A14:M14)=0,"",IF(OR(A14="",B14="",C14="",D14="",E14="",F14="",G14="",H14="",J14="",K14="",M14=""),"缺必填",IF(COUNTIF($A$2:$A$201,A14)&gt;1,"ID重复",IF(COUNTIF('任务登记'!$A$2:$A$201,B14)&lt;&gt;1,"任务ID无效","字段齐备"))))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10" t="str">
        <x:f>IF(COUNTA(A15:M15)=0,"",IF(OR(A15="",B15="",C15="",D15="",E15="",F15="",G15="",H15="",J15="",K15="",M15=""),"缺必填",IF(COUNTIF($A$2:$A$201,A15)&gt;1,"ID重复",IF(COUNTIF('任务登记'!$A$2:$A$201,B15)&lt;&gt;1,"任务ID无效","字段齐备"))))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10" t="str">
        <x:f>IF(COUNTA(A16:M16)=0,"",IF(OR(A16="",B16="",C16="",D16="",E16="",F16="",G16="",H16="",J16="",K16="",M16=""),"缺必填",IF(COUNTIF($A$2:$A$201,A16)&gt;1,"ID重复",IF(COUNTIF('任务登记'!$A$2:$A$201,B16)&lt;&gt;1,"任务ID无效","字段齐备"))))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10" t="str">
        <x:f>IF(COUNTA(A17:M17)=0,"",IF(OR(A17="",B17="",C17="",D17="",E17="",F17="",G17="",H17="",J17="",K17="",M17=""),"缺必填",IF(COUNTIF($A$2:$A$201,A17)&gt;1,"ID重复",IF(COUNTIF('任务登记'!$A$2:$A$201,B17)&lt;&gt;1,"任务ID无效","字段齐备"))))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10" t="str">
        <x:f>IF(COUNTA(A18:M18)=0,"",IF(OR(A18="",B18="",C18="",D18="",E18="",F18="",G18="",H18="",J18="",K18="",M18=""),"缺必填",IF(COUNTIF($A$2:$A$201,A18)&gt;1,"ID重复",IF(COUNTIF('任务登记'!$A$2:$A$201,B18)&lt;&gt;1,"任务ID无效","字段齐备"))))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10" t="str">
        <x:f>IF(COUNTA(A19:M19)=0,"",IF(OR(A19="",B19="",C19="",D19="",E19="",F19="",G19="",H19="",J19="",K19="",M19=""),"缺必填",IF(COUNTIF($A$2:$A$201,A19)&gt;1,"ID重复",IF(COUNTIF('任务登记'!$A$2:$A$201,B19)&lt;&gt;1,"任务ID无效","字段齐备"))))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10" t="str">
        <x:f>IF(COUNTA(A20:M20)=0,"",IF(OR(A20="",B20="",C20="",D20="",E20="",F20="",G20="",H20="",J20="",K20="",M20=""),"缺必填",IF(COUNTIF($A$2:$A$201,A20)&gt;1,"ID重复",IF(COUNTIF('任务登记'!$A$2:$A$201,B20)&lt;&gt;1,"任务ID无效","字段齐备"))))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10" t="str">
        <x:f>IF(COUNTA(A21:M21)=0,"",IF(OR(A21="",B21="",C21="",D21="",E21="",F21="",G21="",H21="",J21="",K21="",M21=""),"缺必填",IF(COUNTIF($A$2:$A$201,A21)&gt;1,"ID重复",IF(COUNTIF('任务登记'!$A$2:$A$201,B21)&lt;&gt;1,"任务ID无效","字段齐备"))))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10" t="str">
        <x:f>IF(COUNTA(A22:M22)=0,"",IF(OR(A22="",B22="",C22="",D22="",E22="",F22="",G22="",H22="",J22="",K22="",M22=""),"缺必填",IF(COUNTIF($A$2:$A$201,A22)&gt;1,"ID重复",IF(COUNTIF('任务登记'!$A$2:$A$201,B22)&lt;&gt;1,"任务ID无效","字段齐备"))))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10" t="str">
        <x:f>IF(COUNTA(A23:M23)=0,"",IF(OR(A23="",B23="",C23="",D23="",E23="",F23="",G23="",H23="",J23="",K23="",M23=""),"缺必填",IF(COUNTIF($A$2:$A$201,A23)&gt;1,"ID重复",IF(COUNTIF('任务登记'!$A$2:$A$201,B23)&lt;&gt;1,"任务ID无效","字段齐备"))))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10" t="str">
        <x:f>IF(COUNTA(A24:M24)=0,"",IF(OR(A24="",B24="",C24="",D24="",E24="",F24="",G24="",H24="",J24="",K24="",M24=""),"缺必填",IF(COUNTIF($A$2:$A$201,A24)&gt;1,"ID重复",IF(COUNTIF('任务登记'!$A$2:$A$201,B24)&lt;&gt;1,"任务ID无效","字段齐备"))))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10" t="str">
        <x:f>IF(COUNTA(A25:M25)=0,"",IF(OR(A25="",B25="",C25="",D25="",E25="",F25="",G25="",H25="",J25="",K25="",M25=""),"缺必填",IF(COUNTIF($A$2:$A$201,A25)&gt;1,"ID重复",IF(COUNTIF('任务登记'!$A$2:$A$201,B25)&lt;&gt;1,"任务ID无效","字段齐备"))))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10" t="str">
        <x:f>IF(COUNTA(A26:M26)=0,"",IF(OR(A26="",B26="",C26="",D26="",E26="",F26="",G26="",H26="",J26="",K26="",M26=""),"缺必填",IF(COUNTIF($A$2:$A$201,A26)&gt;1,"ID重复",IF(COUNTIF('任务登记'!$A$2:$A$201,B26)&lt;&gt;1,"任务ID无效","字段齐备"))))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10" t="str">
        <x:f>IF(COUNTA(A27:M27)=0,"",IF(OR(A27="",B27="",C27="",D27="",E27="",F27="",G27="",H27="",J27="",K27="",M27=""),"缺必填",IF(COUNTIF($A$2:$A$201,A27)&gt;1,"ID重复",IF(COUNTIF('任务登记'!$A$2:$A$201,B27)&lt;&gt;1,"任务ID无效","字段齐备"))))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10" t="str">
        <x:f>IF(COUNTA(A28:M28)=0,"",IF(OR(A28="",B28="",C28="",D28="",E28="",F28="",G28="",H28="",J28="",K28="",M28=""),"缺必填",IF(COUNTIF($A$2:$A$201,A28)&gt;1,"ID重复",IF(COUNTIF('任务登记'!$A$2:$A$201,B28)&lt;&gt;1,"任务ID无效","字段齐备"))))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10" t="str">
        <x:f>IF(COUNTA(A29:M29)=0,"",IF(OR(A29="",B29="",C29="",D29="",E29="",F29="",G29="",H29="",J29="",K29="",M29=""),"缺必填",IF(COUNTIF($A$2:$A$201,A29)&gt;1,"ID重复",IF(COUNTIF('任务登记'!$A$2:$A$201,B29)&lt;&gt;1,"任务ID无效","字段齐备"))))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10" t="str">
        <x:f>IF(COUNTA(A30:M30)=0,"",IF(OR(A30="",B30="",C30="",D30="",E30="",F30="",G30="",H30="",J30="",K30="",M30=""),"缺必填",IF(COUNTIF($A$2:$A$201,A30)&gt;1,"ID重复",IF(COUNTIF('任务登记'!$A$2:$A$201,B30)&lt;&gt;1,"任务ID无效","字段齐备"))))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10" t="str">
        <x:f>IF(COUNTA(A31:M31)=0,"",IF(OR(A31="",B31="",C31="",D31="",E31="",F31="",G31="",H31="",J31="",K31="",M31=""),"缺必填",IF(COUNTIF($A$2:$A$201,A31)&gt;1,"ID重复",IF(COUNTIF('任务登记'!$A$2:$A$201,B31)&lt;&gt;1,"任务ID无效","字段齐备"))))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10" t="str">
        <x:f>IF(COUNTA(A32:M32)=0,"",IF(OR(A32="",B32="",C32="",D32="",E32="",F32="",G32="",H32="",J32="",K32="",M32=""),"缺必填",IF(COUNTIF($A$2:$A$201,A32)&gt;1,"ID重复",IF(COUNTIF('任务登记'!$A$2:$A$201,B32)&lt;&gt;1,"任务ID无效","字段齐备"))))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10" t="str">
        <x:f>IF(COUNTA(A33:M33)=0,"",IF(OR(A33="",B33="",C33="",D33="",E33="",F33="",G33="",H33="",J33="",K33="",M33=""),"缺必填",IF(COUNTIF($A$2:$A$201,A33)&gt;1,"ID重复",IF(COUNTIF('任务登记'!$A$2:$A$201,B33)&lt;&gt;1,"任务ID无效","字段齐备"))))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10" t="str">
        <x:f>IF(COUNTA(A34:M34)=0,"",IF(OR(A34="",B34="",C34="",D34="",E34="",F34="",G34="",H34="",J34="",K34="",M34=""),"缺必填",IF(COUNTIF($A$2:$A$201,A34)&gt;1,"ID重复",IF(COUNTIF('任务登记'!$A$2:$A$201,B34)&lt;&gt;1,"任务ID无效","字段齐备"))))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10" t="str">
        <x:f>IF(COUNTA(A35:M35)=0,"",IF(OR(A35="",B35="",C35="",D35="",E35="",F35="",G35="",H35="",J35="",K35="",M35=""),"缺必填",IF(COUNTIF($A$2:$A$201,A35)&gt;1,"ID重复",IF(COUNTIF('任务登记'!$A$2:$A$201,B35)&lt;&gt;1,"任务ID无效","字段齐备"))))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10" t="str">
        <x:f>IF(COUNTA(A36:M36)=0,"",IF(OR(A36="",B36="",C36="",D36="",E36="",F36="",G36="",H36="",J36="",K36="",M36=""),"缺必填",IF(COUNTIF($A$2:$A$201,A36)&gt;1,"ID重复",IF(COUNTIF('任务登记'!$A$2:$A$201,B36)&lt;&gt;1,"任务ID无效","字段齐备"))))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10" t="str">
        <x:f>IF(COUNTA(A37:M37)=0,"",IF(OR(A37="",B37="",C37="",D37="",E37="",F37="",G37="",H37="",J37="",K37="",M37=""),"缺必填",IF(COUNTIF($A$2:$A$201,A37)&gt;1,"ID重复",IF(COUNTIF('任务登记'!$A$2:$A$201,B37)&lt;&gt;1,"任务ID无效","字段齐备"))))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10" t="str">
        <x:f>IF(COUNTA(A38:M38)=0,"",IF(OR(A38="",B38="",C38="",D38="",E38="",F38="",G38="",H38="",J38="",K38="",M38=""),"缺必填",IF(COUNTIF($A$2:$A$201,A38)&gt;1,"ID重复",IF(COUNTIF('任务登记'!$A$2:$A$201,B38)&lt;&gt;1,"任务ID无效","字段齐备"))))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10" t="str">
        <x:f>IF(COUNTA(A39:M39)=0,"",IF(OR(A39="",B39="",C39="",D39="",E39="",F39="",G39="",H39="",J39="",K39="",M39=""),"缺必填",IF(COUNTIF($A$2:$A$201,A39)&gt;1,"ID重复",IF(COUNTIF('任务登记'!$A$2:$A$201,B39)&lt;&gt;1,"任务ID无效","字段齐备"))))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10" t="str">
        <x:f>IF(COUNTA(A40:M40)=0,"",IF(OR(A40="",B40="",C40="",D40="",E40="",F40="",G40="",H40="",J40="",K40="",M40=""),"缺必填",IF(COUNTIF($A$2:$A$201,A40)&gt;1,"ID重复",IF(COUNTIF('任务登记'!$A$2:$A$201,B40)&lt;&gt;1,"任务ID无效","字段齐备"))))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10" t="str">
        <x:f>IF(COUNTA(A41:M41)=0,"",IF(OR(A41="",B41="",C41="",D41="",E41="",F41="",G41="",H41="",J41="",K41="",M41=""),"缺必填",IF(COUNTIF($A$2:$A$201,A41)&gt;1,"ID重复",IF(COUNTIF('任务登记'!$A$2:$A$201,B41)&lt;&gt;1,"任务ID无效","字段齐备"))))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10" t="str">
        <x:f>IF(COUNTA(A42:M42)=0,"",IF(OR(A42="",B42="",C42="",D42="",E42="",F42="",G42="",H42="",J42="",K42="",M42=""),"缺必填",IF(COUNTIF($A$2:$A$201,A42)&gt;1,"ID重复",IF(COUNTIF('任务登记'!$A$2:$A$201,B42)&lt;&gt;1,"任务ID无效","字段齐备"))))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10" t="str">
        <x:f>IF(COUNTA(A43:M43)=0,"",IF(OR(A43="",B43="",C43="",D43="",E43="",F43="",G43="",H43="",J43="",K43="",M43=""),"缺必填",IF(COUNTIF($A$2:$A$201,A43)&gt;1,"ID重复",IF(COUNTIF('任务登记'!$A$2:$A$201,B43)&lt;&gt;1,"任务ID无效","字段齐备"))))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10" t="str">
        <x:f>IF(COUNTA(A44:M44)=0,"",IF(OR(A44="",B44="",C44="",D44="",E44="",F44="",G44="",H44="",J44="",K44="",M44=""),"缺必填",IF(COUNTIF($A$2:$A$201,A44)&gt;1,"ID重复",IF(COUNTIF('任务登记'!$A$2:$A$201,B44)&lt;&gt;1,"任务ID无效","字段齐备"))))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10" t="str">
        <x:f>IF(COUNTA(A45:M45)=0,"",IF(OR(A45="",B45="",C45="",D45="",E45="",F45="",G45="",H45="",J45="",K45="",M45=""),"缺必填",IF(COUNTIF($A$2:$A$201,A45)&gt;1,"ID重复",IF(COUNTIF('任务登记'!$A$2:$A$201,B45)&lt;&gt;1,"任务ID无效","字段齐备"))))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10" t="str">
        <x:f>IF(COUNTA(A46:M46)=0,"",IF(OR(A46="",B46="",C46="",D46="",E46="",F46="",G46="",H46="",J46="",K46="",M46=""),"缺必填",IF(COUNTIF($A$2:$A$201,A46)&gt;1,"ID重复",IF(COUNTIF('任务登记'!$A$2:$A$201,B46)&lt;&gt;1,"任务ID无效","字段齐备"))))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10" t="str">
        <x:f>IF(COUNTA(A47:M47)=0,"",IF(OR(A47="",B47="",C47="",D47="",E47="",F47="",G47="",H47="",J47="",K47="",M47=""),"缺必填",IF(COUNTIF($A$2:$A$201,A47)&gt;1,"ID重复",IF(COUNTIF('任务登记'!$A$2:$A$201,B47)&lt;&gt;1,"任务ID无效","字段齐备"))))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10" t="str">
        <x:f>IF(COUNTA(A48:M48)=0,"",IF(OR(A48="",B48="",C48="",D48="",E48="",F48="",G48="",H48="",J48="",K48="",M48=""),"缺必填",IF(COUNTIF($A$2:$A$201,A48)&gt;1,"ID重复",IF(COUNTIF('任务登记'!$A$2:$A$201,B48)&lt;&gt;1,"任务ID无效","字段齐备"))))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10" t="str">
        <x:f>IF(COUNTA(A49:M49)=0,"",IF(OR(A49="",B49="",C49="",D49="",E49="",F49="",G49="",H49="",J49="",K49="",M49=""),"缺必填",IF(COUNTIF($A$2:$A$201,A49)&gt;1,"ID重复",IF(COUNTIF('任务登记'!$A$2:$A$201,B49)&lt;&gt;1,"任务ID无效","字段齐备"))))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10" t="str">
        <x:f>IF(COUNTA(A50:M50)=0,"",IF(OR(A50="",B50="",C50="",D50="",E50="",F50="",G50="",H50="",J50="",K50="",M50=""),"缺必填",IF(COUNTIF($A$2:$A$201,A50)&gt;1,"ID重复",IF(COUNTIF('任务登记'!$A$2:$A$201,B50)&lt;&gt;1,"任务ID无效","字段齐备"))))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10" t="str">
        <x:f>IF(COUNTA(A51:M51)=0,"",IF(OR(A51="",B51="",C51="",D51="",E51="",F51="",G51="",H51="",J51="",K51="",M51=""),"缺必填",IF(COUNTIF($A$2:$A$201,A51)&gt;1,"ID重复",IF(COUNTIF('任务登记'!$A$2:$A$201,B51)&lt;&gt;1,"任务ID无效","字段齐备"))))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10" t="str">
        <x:f>IF(COUNTA(A52:M52)=0,"",IF(OR(A52="",B52="",C52="",D52="",E52="",F52="",G52="",H52="",J52="",K52="",M52=""),"缺必填",IF(COUNTIF($A$2:$A$201,A52)&gt;1,"ID重复",IF(COUNTIF('任务登记'!$A$2:$A$201,B52)&lt;&gt;1,"任务ID无效","字段齐备"))))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10" t="str">
        <x:f>IF(COUNTA(A53:M53)=0,"",IF(OR(A53="",B53="",C53="",D53="",E53="",F53="",G53="",H53="",J53="",K53="",M53=""),"缺必填",IF(COUNTIF($A$2:$A$201,A53)&gt;1,"ID重复",IF(COUNTIF('任务登记'!$A$2:$A$201,B53)&lt;&gt;1,"任务ID无效","字段齐备"))))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10" t="str">
        <x:f>IF(COUNTA(A54:M54)=0,"",IF(OR(A54="",B54="",C54="",D54="",E54="",F54="",G54="",H54="",J54="",K54="",M54=""),"缺必填",IF(COUNTIF($A$2:$A$201,A54)&gt;1,"ID重复",IF(COUNTIF('任务登记'!$A$2:$A$201,B54)&lt;&gt;1,"任务ID无效","字段齐备"))))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10" t="str">
        <x:f>IF(COUNTA(A55:M55)=0,"",IF(OR(A55="",B55="",C55="",D55="",E55="",F55="",G55="",H55="",J55="",K55="",M55=""),"缺必填",IF(COUNTIF($A$2:$A$201,A55)&gt;1,"ID重复",IF(COUNTIF('任务登记'!$A$2:$A$201,B55)&lt;&gt;1,"任务ID无效","字段齐备"))))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10" t="str">
        <x:f>IF(COUNTA(A56:M56)=0,"",IF(OR(A56="",B56="",C56="",D56="",E56="",F56="",G56="",H56="",J56="",K56="",M56=""),"缺必填",IF(COUNTIF($A$2:$A$201,A56)&gt;1,"ID重复",IF(COUNTIF('任务登记'!$A$2:$A$201,B56)&lt;&gt;1,"任务ID无效","字段齐备"))))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10" t="str">
        <x:f>IF(COUNTA(A57:M57)=0,"",IF(OR(A57="",B57="",C57="",D57="",E57="",F57="",G57="",H57="",J57="",K57="",M57=""),"缺必填",IF(COUNTIF($A$2:$A$201,A57)&gt;1,"ID重复",IF(COUNTIF('任务登记'!$A$2:$A$201,B57)&lt;&gt;1,"任务ID无效","字段齐备"))))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10" t="str">
        <x:f>IF(COUNTA(A58:M58)=0,"",IF(OR(A58="",B58="",C58="",D58="",E58="",F58="",G58="",H58="",J58="",K58="",M58=""),"缺必填",IF(COUNTIF($A$2:$A$201,A58)&gt;1,"ID重复",IF(COUNTIF('任务登记'!$A$2:$A$201,B58)&lt;&gt;1,"任务ID无效","字段齐备"))))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10" t="str">
        <x:f>IF(COUNTA(A59:M59)=0,"",IF(OR(A59="",B59="",C59="",D59="",E59="",F59="",G59="",H59="",J59="",K59="",M59=""),"缺必填",IF(COUNTIF($A$2:$A$201,A59)&gt;1,"ID重复",IF(COUNTIF('任务登记'!$A$2:$A$201,B59)&lt;&gt;1,"任务ID无效","字段齐备"))))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10" t="str">
        <x:f>IF(COUNTA(A60:M60)=0,"",IF(OR(A60="",B60="",C60="",D60="",E60="",F60="",G60="",H60="",J60="",K60="",M60=""),"缺必填",IF(COUNTIF($A$2:$A$201,A60)&gt;1,"ID重复",IF(COUNTIF('任务登记'!$A$2:$A$201,B60)&lt;&gt;1,"任务ID无效","字段齐备"))))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10" t="str">
        <x:f>IF(COUNTA(A61:M61)=0,"",IF(OR(A61="",B61="",C61="",D61="",E61="",F61="",G61="",H61="",J61="",K61="",M61=""),"缺必填",IF(COUNTIF($A$2:$A$201,A61)&gt;1,"ID重复",IF(COUNTIF('任务登记'!$A$2:$A$201,B61)&lt;&gt;1,"任务ID无效","字段齐备"))))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10" t="str">
        <x:f>IF(COUNTA(A62:M62)=0,"",IF(OR(A62="",B62="",C62="",D62="",E62="",F62="",G62="",H62="",J62="",K62="",M62=""),"缺必填",IF(COUNTIF($A$2:$A$201,A62)&gt;1,"ID重复",IF(COUNTIF('任务登记'!$A$2:$A$201,B62)&lt;&gt;1,"任务ID无效","字段齐备"))))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10" t="str">
        <x:f>IF(COUNTA(A63:M63)=0,"",IF(OR(A63="",B63="",C63="",D63="",E63="",F63="",G63="",H63="",J63="",K63="",M63=""),"缺必填",IF(COUNTIF($A$2:$A$201,A63)&gt;1,"ID重复",IF(COUNTIF('任务登记'!$A$2:$A$201,B63)&lt;&gt;1,"任务ID无效","字段齐备"))))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10" t="str">
        <x:f>IF(COUNTA(A64:M64)=0,"",IF(OR(A64="",B64="",C64="",D64="",E64="",F64="",G64="",H64="",J64="",K64="",M64=""),"缺必填",IF(COUNTIF($A$2:$A$201,A64)&gt;1,"ID重复",IF(COUNTIF('任务登记'!$A$2:$A$201,B64)&lt;&gt;1,"任务ID无效","字段齐备"))))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10" t="str">
        <x:f>IF(COUNTA(A65:M65)=0,"",IF(OR(A65="",B65="",C65="",D65="",E65="",F65="",G65="",H65="",J65="",K65="",M65=""),"缺必填",IF(COUNTIF($A$2:$A$201,A65)&gt;1,"ID重复",IF(COUNTIF('任务登记'!$A$2:$A$201,B65)&lt;&gt;1,"任务ID无效","字段齐备"))))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10" t="str">
        <x:f>IF(COUNTA(A66:M66)=0,"",IF(OR(A66="",B66="",C66="",D66="",E66="",F66="",G66="",H66="",J66="",K66="",M66=""),"缺必填",IF(COUNTIF($A$2:$A$201,A66)&gt;1,"ID重复",IF(COUNTIF('任务登记'!$A$2:$A$201,B66)&lt;&gt;1,"任务ID无效","字段齐备"))))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10" t="str">
        <x:f>IF(COUNTA(A67:M67)=0,"",IF(OR(A67="",B67="",C67="",D67="",E67="",F67="",G67="",H67="",J67="",K67="",M67=""),"缺必填",IF(COUNTIF($A$2:$A$201,A67)&gt;1,"ID重复",IF(COUNTIF('任务登记'!$A$2:$A$201,B67)&lt;&gt;1,"任务ID无效","字段齐备"))))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10" t="str">
        <x:f>IF(COUNTA(A68:M68)=0,"",IF(OR(A68="",B68="",C68="",D68="",E68="",F68="",G68="",H68="",J68="",K68="",M68=""),"缺必填",IF(COUNTIF($A$2:$A$201,A68)&gt;1,"ID重复",IF(COUNTIF('任务登记'!$A$2:$A$201,B68)&lt;&gt;1,"任务ID无效","字段齐备"))))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10" t="str">
        <x:f>IF(COUNTA(A69:M69)=0,"",IF(OR(A69="",B69="",C69="",D69="",E69="",F69="",G69="",H69="",J69="",K69="",M69=""),"缺必填",IF(COUNTIF($A$2:$A$201,A69)&gt;1,"ID重复",IF(COUNTIF('任务登记'!$A$2:$A$201,B69)&lt;&gt;1,"任务ID无效","字段齐备"))))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10" t="str">
        <x:f>IF(COUNTA(A70:M70)=0,"",IF(OR(A70="",B70="",C70="",D70="",E70="",F70="",G70="",H70="",J70="",K70="",M70=""),"缺必填",IF(COUNTIF($A$2:$A$201,A70)&gt;1,"ID重复",IF(COUNTIF('任务登记'!$A$2:$A$201,B70)&lt;&gt;1,"任务ID无效","字段齐备"))))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10" t="str">
        <x:f>IF(COUNTA(A71:M71)=0,"",IF(OR(A71="",B71="",C71="",D71="",E71="",F71="",G71="",H71="",J71="",K71="",M71=""),"缺必填",IF(COUNTIF($A$2:$A$201,A71)&gt;1,"ID重复",IF(COUNTIF('任务登记'!$A$2:$A$201,B71)&lt;&gt;1,"任务ID无效","字段齐备"))))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10" t="str">
        <x:f>IF(COUNTA(A72:M72)=0,"",IF(OR(A72="",B72="",C72="",D72="",E72="",F72="",G72="",H72="",J72="",K72="",M72=""),"缺必填",IF(COUNTIF($A$2:$A$201,A72)&gt;1,"ID重复",IF(COUNTIF('任务登记'!$A$2:$A$201,B72)&lt;&gt;1,"任务ID无效","字段齐备"))))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10" t="str">
        <x:f>IF(COUNTA(A73:M73)=0,"",IF(OR(A73="",B73="",C73="",D73="",E73="",F73="",G73="",H73="",J73="",K73="",M73=""),"缺必填",IF(COUNTIF($A$2:$A$201,A73)&gt;1,"ID重复",IF(COUNTIF('任务登记'!$A$2:$A$201,B73)&lt;&gt;1,"任务ID无效","字段齐备"))))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10" t="str">
        <x:f>IF(COUNTA(A74:M74)=0,"",IF(OR(A74="",B74="",C74="",D74="",E74="",F74="",G74="",H74="",J74="",K74="",M74=""),"缺必填",IF(COUNTIF($A$2:$A$201,A74)&gt;1,"ID重复",IF(COUNTIF('任务登记'!$A$2:$A$201,B74)&lt;&gt;1,"任务ID无效","字段齐备"))))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10" t="str">
        <x:f>IF(COUNTA(A75:M75)=0,"",IF(OR(A75="",B75="",C75="",D75="",E75="",F75="",G75="",H75="",J75="",K75="",M75=""),"缺必填",IF(COUNTIF($A$2:$A$201,A75)&gt;1,"ID重复",IF(COUNTIF('任务登记'!$A$2:$A$201,B75)&lt;&gt;1,"任务ID无效","字段齐备"))))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10" t="str">
        <x:f>IF(COUNTA(A76:M76)=0,"",IF(OR(A76="",B76="",C76="",D76="",E76="",F76="",G76="",H76="",J76="",K76="",M76=""),"缺必填",IF(COUNTIF($A$2:$A$201,A76)&gt;1,"ID重复",IF(COUNTIF('任务登记'!$A$2:$A$201,B76)&lt;&gt;1,"任务ID无效","字段齐备"))))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10" t="str">
        <x:f>IF(COUNTA(A77:M77)=0,"",IF(OR(A77="",B77="",C77="",D77="",E77="",F77="",G77="",H77="",J77="",K77="",M77=""),"缺必填",IF(COUNTIF($A$2:$A$201,A77)&gt;1,"ID重复",IF(COUNTIF('任务登记'!$A$2:$A$201,B77)&lt;&gt;1,"任务ID无效","字段齐备"))))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10" t="str">
        <x:f>IF(COUNTA(A78:M78)=0,"",IF(OR(A78="",B78="",C78="",D78="",E78="",F78="",G78="",H78="",J78="",K78="",M78=""),"缺必填",IF(COUNTIF($A$2:$A$201,A78)&gt;1,"ID重复",IF(COUNTIF('任务登记'!$A$2:$A$201,B78)&lt;&gt;1,"任务ID无效","字段齐备"))))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10" t="str">
        <x:f>IF(COUNTA(A79:M79)=0,"",IF(OR(A79="",B79="",C79="",D79="",E79="",F79="",G79="",H79="",J79="",K79="",M79=""),"缺必填",IF(COUNTIF($A$2:$A$201,A79)&gt;1,"ID重复",IF(COUNTIF('任务登记'!$A$2:$A$201,B79)&lt;&gt;1,"任务ID无效","字段齐备"))))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10" t="str">
        <x:f>IF(COUNTA(A80:M80)=0,"",IF(OR(A80="",B80="",C80="",D80="",E80="",F80="",G80="",H80="",J80="",K80="",M80=""),"缺必填",IF(COUNTIF($A$2:$A$201,A80)&gt;1,"ID重复",IF(COUNTIF('任务登记'!$A$2:$A$201,B80)&lt;&gt;1,"任务ID无效","字段齐备"))))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10" t="str">
        <x:f>IF(COUNTA(A81:M81)=0,"",IF(OR(A81="",B81="",C81="",D81="",E81="",F81="",G81="",H81="",J81="",K81="",M81=""),"缺必填",IF(COUNTIF($A$2:$A$201,A81)&gt;1,"ID重复",IF(COUNTIF('任务登记'!$A$2:$A$201,B81)&lt;&gt;1,"任务ID无效","字段齐备"))))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10" t="str">
        <x:f>IF(COUNTA(A82:M82)=0,"",IF(OR(A82="",B82="",C82="",D82="",E82="",F82="",G82="",H82="",J82="",K82="",M82=""),"缺必填",IF(COUNTIF($A$2:$A$201,A82)&gt;1,"ID重复",IF(COUNTIF('任务登记'!$A$2:$A$201,B82)&lt;&gt;1,"任务ID无效","字段齐备"))))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10" t="str">
        <x:f>IF(COUNTA(A83:M83)=0,"",IF(OR(A83="",B83="",C83="",D83="",E83="",F83="",G83="",H83="",J83="",K83="",M83=""),"缺必填",IF(COUNTIF($A$2:$A$201,A83)&gt;1,"ID重复",IF(COUNTIF('任务登记'!$A$2:$A$201,B83)&lt;&gt;1,"任务ID无效","字段齐备"))))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10" t="str">
        <x:f>IF(COUNTA(A84:M84)=0,"",IF(OR(A84="",B84="",C84="",D84="",E84="",F84="",G84="",H84="",J84="",K84="",M84=""),"缺必填",IF(COUNTIF($A$2:$A$201,A84)&gt;1,"ID重复",IF(COUNTIF('任务登记'!$A$2:$A$201,B84)&lt;&gt;1,"任务ID无效","字段齐备"))))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10" t="str">
        <x:f>IF(COUNTA(A85:M85)=0,"",IF(OR(A85="",B85="",C85="",D85="",E85="",F85="",G85="",H85="",J85="",K85="",M85=""),"缺必填",IF(COUNTIF($A$2:$A$201,A85)&gt;1,"ID重复",IF(COUNTIF('任务登记'!$A$2:$A$201,B85)&lt;&gt;1,"任务ID无效","字段齐备"))))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10" t="str">
        <x:f>IF(COUNTA(A86:M86)=0,"",IF(OR(A86="",B86="",C86="",D86="",E86="",F86="",G86="",H86="",J86="",K86="",M86=""),"缺必填",IF(COUNTIF($A$2:$A$201,A86)&gt;1,"ID重复",IF(COUNTIF('任务登记'!$A$2:$A$201,B86)&lt;&gt;1,"任务ID无效","字段齐备"))))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10" t="str">
        <x:f>IF(COUNTA(A87:M87)=0,"",IF(OR(A87="",B87="",C87="",D87="",E87="",F87="",G87="",H87="",J87="",K87="",M87=""),"缺必填",IF(COUNTIF($A$2:$A$201,A87)&gt;1,"ID重复",IF(COUNTIF('任务登记'!$A$2:$A$201,B87)&lt;&gt;1,"任务ID无效","字段齐备"))))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10" t="str">
        <x:f>IF(COUNTA(A88:M88)=0,"",IF(OR(A88="",B88="",C88="",D88="",E88="",F88="",G88="",H88="",J88="",K88="",M88=""),"缺必填",IF(COUNTIF($A$2:$A$201,A88)&gt;1,"ID重复",IF(COUNTIF('任务登记'!$A$2:$A$201,B88)&lt;&gt;1,"任务ID无效","字段齐备"))))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10" t="str">
        <x:f>IF(COUNTA(A89:M89)=0,"",IF(OR(A89="",B89="",C89="",D89="",E89="",F89="",G89="",H89="",J89="",K89="",M89=""),"缺必填",IF(COUNTIF($A$2:$A$201,A89)&gt;1,"ID重复",IF(COUNTIF('任务登记'!$A$2:$A$201,B89)&lt;&gt;1,"任务ID无效","字段齐备"))))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10" t="str">
        <x:f>IF(COUNTA(A90:M90)=0,"",IF(OR(A90="",B90="",C90="",D90="",E90="",F90="",G90="",H90="",J90="",K90="",M90=""),"缺必填",IF(COUNTIF($A$2:$A$201,A90)&gt;1,"ID重复",IF(COUNTIF('任务登记'!$A$2:$A$201,B90)&lt;&gt;1,"任务ID无效","字段齐备"))))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10" t="str">
        <x:f>IF(COUNTA(A91:M91)=0,"",IF(OR(A91="",B91="",C91="",D91="",E91="",F91="",G91="",H91="",J91="",K91="",M91=""),"缺必填",IF(COUNTIF($A$2:$A$201,A91)&gt;1,"ID重复",IF(COUNTIF('任务登记'!$A$2:$A$201,B91)&lt;&gt;1,"任务ID无效","字段齐备"))))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10" t="str">
        <x:f>IF(COUNTA(A92:M92)=0,"",IF(OR(A92="",B92="",C92="",D92="",E92="",F92="",G92="",H92="",J92="",K92="",M92=""),"缺必填",IF(COUNTIF($A$2:$A$201,A92)&gt;1,"ID重复",IF(COUNTIF('任务登记'!$A$2:$A$201,B92)&lt;&gt;1,"任务ID无效","字段齐备"))))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10" t="str">
        <x:f>IF(COUNTA(A93:M93)=0,"",IF(OR(A93="",B93="",C93="",D93="",E93="",F93="",G93="",H93="",J93="",K93="",M93=""),"缺必填",IF(COUNTIF($A$2:$A$201,A93)&gt;1,"ID重复",IF(COUNTIF('任务登记'!$A$2:$A$201,B93)&lt;&gt;1,"任务ID无效","字段齐备"))))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10" t="str">
        <x:f>IF(COUNTA(A94:M94)=0,"",IF(OR(A94="",B94="",C94="",D94="",E94="",F94="",G94="",H94="",J94="",K94="",M94=""),"缺必填",IF(COUNTIF($A$2:$A$201,A94)&gt;1,"ID重复",IF(COUNTIF('任务登记'!$A$2:$A$201,B94)&lt;&gt;1,"任务ID无效","字段齐备"))))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10" t="str">
        <x:f>IF(COUNTA(A95:M95)=0,"",IF(OR(A95="",B95="",C95="",D95="",E95="",F95="",G95="",H95="",J95="",K95="",M95=""),"缺必填",IF(COUNTIF($A$2:$A$201,A95)&gt;1,"ID重复",IF(COUNTIF('任务登记'!$A$2:$A$201,B95)&lt;&gt;1,"任务ID无效","字段齐备"))))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10" t="str">
        <x:f>IF(COUNTA(A96:M96)=0,"",IF(OR(A96="",B96="",C96="",D96="",E96="",F96="",G96="",H96="",J96="",K96="",M96=""),"缺必填",IF(COUNTIF($A$2:$A$201,A96)&gt;1,"ID重复",IF(COUNTIF('任务登记'!$A$2:$A$201,B96)&lt;&gt;1,"任务ID无效","字段齐备"))))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10" t="str">
        <x:f>IF(COUNTA(A97:M97)=0,"",IF(OR(A97="",B97="",C97="",D97="",E97="",F97="",G97="",H97="",J97="",K97="",M97=""),"缺必填",IF(COUNTIF($A$2:$A$201,A97)&gt;1,"ID重复",IF(COUNTIF('任务登记'!$A$2:$A$201,B97)&lt;&gt;1,"任务ID无效","字段齐备"))))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10" t="str">
        <x:f>IF(COUNTA(A98:M98)=0,"",IF(OR(A98="",B98="",C98="",D98="",E98="",F98="",G98="",H98="",J98="",K98="",M98=""),"缺必填",IF(COUNTIF($A$2:$A$201,A98)&gt;1,"ID重复",IF(COUNTIF('任务登记'!$A$2:$A$201,B98)&lt;&gt;1,"任务ID无效","字段齐备"))))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10" t="str">
        <x:f>IF(COUNTA(A99:M99)=0,"",IF(OR(A99="",B99="",C99="",D99="",E99="",F99="",G99="",H99="",J99="",K99="",M99=""),"缺必填",IF(COUNTIF($A$2:$A$201,A99)&gt;1,"ID重复",IF(COUNTIF('任务登记'!$A$2:$A$201,B99)&lt;&gt;1,"任务ID无效","字段齐备"))))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10" t="str">
        <x:f>IF(COUNTA(A100:M100)=0,"",IF(OR(A100="",B100="",C100="",D100="",E100="",F100="",G100="",H100="",J100="",K100="",M100=""),"缺必填",IF(COUNTIF($A$2:$A$201,A100)&gt;1,"ID重复",IF(COUNTIF('任务登记'!$A$2:$A$201,B100)&lt;&gt;1,"任务ID无效","字段齐备"))))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10" t="str">
        <x:f>IF(COUNTA(A101:M101)=0,"",IF(OR(A101="",B101="",C101="",D101="",E101="",F101="",G101="",H101="",J101="",K101="",M101=""),"缺必填",IF(COUNTIF($A$2:$A$201,A101)&gt;1,"ID重复",IF(COUNTIF('任务登记'!$A$2:$A$201,B101)&lt;&gt;1,"任务ID无效","字段齐备"))))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10" t="str">
        <x:f>IF(COUNTA(A102:M102)=0,"",IF(OR(A102="",B102="",C102="",D102="",E102="",F102="",G102="",H102="",J102="",K102="",M102=""),"缺必填",IF(COUNTIF($A$2:$A$201,A102)&gt;1,"ID重复",IF(COUNTIF('任务登记'!$A$2:$A$201,B102)&lt;&gt;1,"任务ID无效","字段齐备"))))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10" t="str">
        <x:f>IF(COUNTA(A103:M103)=0,"",IF(OR(A103="",B103="",C103="",D103="",E103="",F103="",G103="",H103="",J103="",K103="",M103=""),"缺必填",IF(COUNTIF($A$2:$A$201,A103)&gt;1,"ID重复",IF(COUNTIF('任务登记'!$A$2:$A$201,B103)&lt;&gt;1,"任务ID无效","字段齐备"))))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10" t="str">
        <x:f>IF(COUNTA(A104:M104)=0,"",IF(OR(A104="",B104="",C104="",D104="",E104="",F104="",G104="",H104="",J104="",K104="",M104=""),"缺必填",IF(COUNTIF($A$2:$A$201,A104)&gt;1,"ID重复",IF(COUNTIF('任务登记'!$A$2:$A$201,B104)&lt;&gt;1,"任务ID无效","字段齐备"))))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10" t="str">
        <x:f>IF(COUNTA(A105:M105)=0,"",IF(OR(A105="",B105="",C105="",D105="",E105="",F105="",G105="",H105="",J105="",K105="",M105=""),"缺必填",IF(COUNTIF($A$2:$A$201,A105)&gt;1,"ID重复",IF(COUNTIF('任务登记'!$A$2:$A$201,B105)&lt;&gt;1,"任务ID无效","字段齐备"))))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10" t="str">
        <x:f>IF(COUNTA(A106:M106)=0,"",IF(OR(A106="",B106="",C106="",D106="",E106="",F106="",G106="",H106="",J106="",K106="",M106=""),"缺必填",IF(COUNTIF($A$2:$A$201,A106)&gt;1,"ID重复",IF(COUNTIF('任务登记'!$A$2:$A$201,B106)&lt;&gt;1,"任务ID无效","字段齐备"))))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10" t="str">
        <x:f>IF(COUNTA(A107:M107)=0,"",IF(OR(A107="",B107="",C107="",D107="",E107="",F107="",G107="",H107="",J107="",K107="",M107=""),"缺必填",IF(COUNTIF($A$2:$A$201,A107)&gt;1,"ID重复",IF(COUNTIF('任务登记'!$A$2:$A$201,B107)&lt;&gt;1,"任务ID无效","字段齐备"))))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10" t="str">
        <x:f>IF(COUNTA(A108:M108)=0,"",IF(OR(A108="",B108="",C108="",D108="",E108="",F108="",G108="",H108="",J108="",K108="",M108=""),"缺必填",IF(COUNTIF($A$2:$A$201,A108)&gt;1,"ID重复",IF(COUNTIF('任务登记'!$A$2:$A$201,B108)&lt;&gt;1,"任务ID无效","字段齐备"))))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10" t="str">
        <x:f>IF(COUNTA(A109:M109)=0,"",IF(OR(A109="",B109="",C109="",D109="",E109="",F109="",G109="",H109="",J109="",K109="",M109=""),"缺必填",IF(COUNTIF($A$2:$A$201,A109)&gt;1,"ID重复",IF(COUNTIF('任务登记'!$A$2:$A$201,B109)&lt;&gt;1,"任务ID无效","字段齐备"))))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10" t="str">
        <x:f>IF(COUNTA(A110:M110)=0,"",IF(OR(A110="",B110="",C110="",D110="",E110="",F110="",G110="",H110="",J110="",K110="",M110=""),"缺必填",IF(COUNTIF($A$2:$A$201,A110)&gt;1,"ID重复",IF(COUNTIF('任务登记'!$A$2:$A$201,B110)&lt;&gt;1,"任务ID无效","字段齐备"))))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10" t="str">
        <x:f>IF(COUNTA(A111:M111)=0,"",IF(OR(A111="",B111="",C111="",D111="",E111="",F111="",G111="",H111="",J111="",K111="",M111=""),"缺必填",IF(COUNTIF($A$2:$A$201,A111)&gt;1,"ID重复",IF(COUNTIF('任务登记'!$A$2:$A$201,B111)&lt;&gt;1,"任务ID无效","字段齐备"))))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10" t="str">
        <x:f>IF(COUNTA(A112:M112)=0,"",IF(OR(A112="",B112="",C112="",D112="",E112="",F112="",G112="",H112="",J112="",K112="",M112=""),"缺必填",IF(COUNTIF($A$2:$A$201,A112)&gt;1,"ID重复",IF(COUNTIF('任务登记'!$A$2:$A$201,B112)&lt;&gt;1,"任务ID无效","字段齐备"))))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10" t="str">
        <x:f>IF(COUNTA(A113:M113)=0,"",IF(OR(A113="",B113="",C113="",D113="",E113="",F113="",G113="",H113="",J113="",K113="",M113=""),"缺必填",IF(COUNTIF($A$2:$A$201,A113)&gt;1,"ID重复",IF(COUNTIF('任务登记'!$A$2:$A$201,B113)&lt;&gt;1,"任务ID无效","字段齐备"))))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10" t="str">
        <x:f>IF(COUNTA(A114:M114)=0,"",IF(OR(A114="",B114="",C114="",D114="",E114="",F114="",G114="",H114="",J114="",K114="",M114=""),"缺必填",IF(COUNTIF($A$2:$A$201,A114)&gt;1,"ID重复",IF(COUNTIF('任务登记'!$A$2:$A$201,B114)&lt;&gt;1,"任务ID无效","字段齐备"))))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10" t="str">
        <x:f>IF(COUNTA(A115:M115)=0,"",IF(OR(A115="",B115="",C115="",D115="",E115="",F115="",G115="",H115="",J115="",K115="",M115=""),"缺必填",IF(COUNTIF($A$2:$A$201,A115)&gt;1,"ID重复",IF(COUNTIF('任务登记'!$A$2:$A$201,B115)&lt;&gt;1,"任务ID无效","字段齐备"))))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10" t="str">
        <x:f>IF(COUNTA(A116:M116)=0,"",IF(OR(A116="",B116="",C116="",D116="",E116="",F116="",G116="",H116="",J116="",K116="",M116=""),"缺必填",IF(COUNTIF($A$2:$A$201,A116)&gt;1,"ID重复",IF(COUNTIF('任务登记'!$A$2:$A$201,B116)&lt;&gt;1,"任务ID无效","字段齐备"))))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10" t="str">
        <x:f>IF(COUNTA(A117:M117)=0,"",IF(OR(A117="",B117="",C117="",D117="",E117="",F117="",G117="",H117="",J117="",K117="",M117=""),"缺必填",IF(COUNTIF($A$2:$A$201,A117)&gt;1,"ID重复",IF(COUNTIF('任务登记'!$A$2:$A$201,B117)&lt;&gt;1,"任务ID无效","字段齐备"))))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10" t="str">
        <x:f>IF(COUNTA(A118:M118)=0,"",IF(OR(A118="",B118="",C118="",D118="",E118="",F118="",G118="",H118="",J118="",K118="",M118=""),"缺必填",IF(COUNTIF($A$2:$A$201,A118)&gt;1,"ID重复",IF(COUNTIF('任务登记'!$A$2:$A$201,B118)&lt;&gt;1,"任务ID无效","字段齐备"))))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10" t="str">
        <x:f>IF(COUNTA(A119:M119)=0,"",IF(OR(A119="",B119="",C119="",D119="",E119="",F119="",G119="",H119="",J119="",K119="",M119=""),"缺必填",IF(COUNTIF($A$2:$A$201,A119)&gt;1,"ID重复",IF(COUNTIF('任务登记'!$A$2:$A$201,B119)&lt;&gt;1,"任务ID无效","字段齐备"))))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10" t="str">
        <x:f>IF(COUNTA(A120:M120)=0,"",IF(OR(A120="",B120="",C120="",D120="",E120="",F120="",G120="",H120="",J120="",K120="",M120=""),"缺必填",IF(COUNTIF($A$2:$A$201,A120)&gt;1,"ID重复",IF(COUNTIF('任务登记'!$A$2:$A$201,B120)&lt;&gt;1,"任务ID无效","字段齐备"))))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10" t="str">
        <x:f>IF(COUNTA(A121:M121)=0,"",IF(OR(A121="",B121="",C121="",D121="",E121="",F121="",G121="",H121="",J121="",K121="",M121=""),"缺必填",IF(COUNTIF($A$2:$A$201,A121)&gt;1,"ID重复",IF(COUNTIF('任务登记'!$A$2:$A$201,B121)&lt;&gt;1,"任务ID无效","字段齐备"))))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10" t="str">
        <x:f>IF(COUNTA(A122:M122)=0,"",IF(OR(A122="",B122="",C122="",D122="",E122="",F122="",G122="",H122="",J122="",K122="",M122=""),"缺必填",IF(COUNTIF($A$2:$A$201,A122)&gt;1,"ID重复",IF(COUNTIF('任务登记'!$A$2:$A$201,B122)&lt;&gt;1,"任务ID无效","字段齐备"))))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10" t="str">
        <x:f>IF(COUNTA(A123:M123)=0,"",IF(OR(A123="",B123="",C123="",D123="",E123="",F123="",G123="",H123="",J123="",K123="",M123=""),"缺必填",IF(COUNTIF($A$2:$A$201,A123)&gt;1,"ID重复",IF(COUNTIF('任务登记'!$A$2:$A$201,B123)&lt;&gt;1,"任务ID无效","字段齐备"))))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10" t="str">
        <x:f>IF(COUNTA(A124:M124)=0,"",IF(OR(A124="",B124="",C124="",D124="",E124="",F124="",G124="",H124="",J124="",K124="",M124=""),"缺必填",IF(COUNTIF($A$2:$A$201,A124)&gt;1,"ID重复",IF(COUNTIF('任务登记'!$A$2:$A$201,B124)&lt;&gt;1,"任务ID无效","字段齐备"))))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10" t="str">
        <x:f>IF(COUNTA(A125:M125)=0,"",IF(OR(A125="",B125="",C125="",D125="",E125="",F125="",G125="",H125="",J125="",K125="",M125=""),"缺必填",IF(COUNTIF($A$2:$A$201,A125)&gt;1,"ID重复",IF(COUNTIF('任务登记'!$A$2:$A$201,B125)&lt;&gt;1,"任务ID无效","字段齐备"))))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10" t="str">
        <x:f>IF(COUNTA(A126:M126)=0,"",IF(OR(A126="",B126="",C126="",D126="",E126="",F126="",G126="",H126="",J126="",K126="",M126=""),"缺必填",IF(COUNTIF($A$2:$A$201,A126)&gt;1,"ID重复",IF(COUNTIF('任务登记'!$A$2:$A$201,B126)&lt;&gt;1,"任务ID无效","字段齐备"))))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10" t="str">
        <x:f>IF(COUNTA(A127:M127)=0,"",IF(OR(A127="",B127="",C127="",D127="",E127="",F127="",G127="",H127="",J127="",K127="",M127=""),"缺必填",IF(COUNTIF($A$2:$A$201,A127)&gt;1,"ID重复",IF(COUNTIF('任务登记'!$A$2:$A$201,B127)&lt;&gt;1,"任务ID无效","字段齐备"))))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10" t="str">
        <x:f>IF(COUNTA(A128:M128)=0,"",IF(OR(A128="",B128="",C128="",D128="",E128="",F128="",G128="",H128="",J128="",K128="",M128=""),"缺必填",IF(COUNTIF($A$2:$A$201,A128)&gt;1,"ID重复",IF(COUNTIF('任务登记'!$A$2:$A$201,B128)&lt;&gt;1,"任务ID无效","字段齐备"))))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10" t="str">
        <x:f>IF(COUNTA(A129:M129)=0,"",IF(OR(A129="",B129="",C129="",D129="",E129="",F129="",G129="",H129="",J129="",K129="",M129=""),"缺必填",IF(COUNTIF($A$2:$A$201,A129)&gt;1,"ID重复",IF(COUNTIF('任务登记'!$A$2:$A$201,B129)&lt;&gt;1,"任务ID无效","字段齐备"))))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10" t="str">
        <x:f>IF(COUNTA(A130:M130)=0,"",IF(OR(A130="",B130="",C130="",D130="",E130="",F130="",G130="",H130="",J130="",K130="",M130=""),"缺必填",IF(COUNTIF($A$2:$A$201,A130)&gt;1,"ID重复",IF(COUNTIF('任务登记'!$A$2:$A$201,B130)&lt;&gt;1,"任务ID无效","字段齐备"))))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10" t="str">
        <x:f>IF(COUNTA(A131:M131)=0,"",IF(OR(A131="",B131="",C131="",D131="",E131="",F131="",G131="",H131="",J131="",K131="",M131=""),"缺必填",IF(COUNTIF($A$2:$A$201,A131)&gt;1,"ID重复",IF(COUNTIF('任务登记'!$A$2:$A$201,B131)&lt;&gt;1,"任务ID无效","字段齐备"))))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10" t="str">
        <x:f>IF(COUNTA(A132:M132)=0,"",IF(OR(A132="",B132="",C132="",D132="",E132="",F132="",G132="",H132="",J132="",K132="",M132=""),"缺必填",IF(COUNTIF($A$2:$A$201,A132)&gt;1,"ID重复",IF(COUNTIF('任务登记'!$A$2:$A$201,B132)&lt;&gt;1,"任务ID无效","字段齐备"))))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10" t="str">
        <x:f>IF(COUNTA(A133:M133)=0,"",IF(OR(A133="",B133="",C133="",D133="",E133="",F133="",G133="",H133="",J133="",K133="",M133=""),"缺必填",IF(COUNTIF($A$2:$A$201,A133)&gt;1,"ID重复",IF(COUNTIF('任务登记'!$A$2:$A$201,B133)&lt;&gt;1,"任务ID无效","字段齐备"))))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10" t="str">
        <x:f>IF(COUNTA(A134:M134)=0,"",IF(OR(A134="",B134="",C134="",D134="",E134="",F134="",G134="",H134="",J134="",K134="",M134=""),"缺必填",IF(COUNTIF($A$2:$A$201,A134)&gt;1,"ID重复",IF(COUNTIF('任务登记'!$A$2:$A$201,B134)&lt;&gt;1,"任务ID无效","字段齐备"))))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10" t="str">
        <x:f>IF(COUNTA(A135:M135)=0,"",IF(OR(A135="",B135="",C135="",D135="",E135="",F135="",G135="",H135="",J135="",K135="",M135=""),"缺必填",IF(COUNTIF($A$2:$A$201,A135)&gt;1,"ID重复",IF(COUNTIF('任务登记'!$A$2:$A$201,B135)&lt;&gt;1,"任务ID无效","字段齐备"))))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10" t="str">
        <x:f>IF(COUNTA(A136:M136)=0,"",IF(OR(A136="",B136="",C136="",D136="",E136="",F136="",G136="",H136="",J136="",K136="",M136=""),"缺必填",IF(COUNTIF($A$2:$A$201,A136)&gt;1,"ID重复",IF(COUNTIF('任务登记'!$A$2:$A$201,B136)&lt;&gt;1,"任务ID无效","字段齐备"))))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10" t="str">
        <x:f>IF(COUNTA(A137:M137)=0,"",IF(OR(A137="",B137="",C137="",D137="",E137="",F137="",G137="",H137="",J137="",K137="",M137=""),"缺必填",IF(COUNTIF($A$2:$A$201,A137)&gt;1,"ID重复",IF(COUNTIF('任务登记'!$A$2:$A$201,B137)&lt;&gt;1,"任务ID无效","字段齐备"))))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10" t="str">
        <x:f>IF(COUNTA(A138:M138)=0,"",IF(OR(A138="",B138="",C138="",D138="",E138="",F138="",G138="",H138="",J138="",K138="",M138=""),"缺必填",IF(COUNTIF($A$2:$A$201,A138)&gt;1,"ID重复",IF(COUNTIF('任务登记'!$A$2:$A$201,B138)&lt;&gt;1,"任务ID无效","字段齐备"))))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10" t="str">
        <x:f>IF(COUNTA(A139:M139)=0,"",IF(OR(A139="",B139="",C139="",D139="",E139="",F139="",G139="",H139="",J139="",K139="",M139=""),"缺必填",IF(COUNTIF($A$2:$A$201,A139)&gt;1,"ID重复",IF(COUNTIF('任务登记'!$A$2:$A$201,B139)&lt;&gt;1,"任务ID无效","字段齐备"))))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10" t="str">
        <x:f>IF(COUNTA(A140:M140)=0,"",IF(OR(A140="",B140="",C140="",D140="",E140="",F140="",G140="",H140="",J140="",K140="",M140=""),"缺必填",IF(COUNTIF($A$2:$A$201,A140)&gt;1,"ID重复",IF(COUNTIF('任务登记'!$A$2:$A$201,B140)&lt;&gt;1,"任务ID无效","字段齐备"))))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10" t="str">
        <x:f>IF(COUNTA(A141:M141)=0,"",IF(OR(A141="",B141="",C141="",D141="",E141="",F141="",G141="",H141="",J141="",K141="",M141=""),"缺必填",IF(COUNTIF($A$2:$A$201,A141)&gt;1,"ID重复",IF(COUNTIF('任务登记'!$A$2:$A$201,B141)&lt;&gt;1,"任务ID无效","字段齐备"))))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10" t="str">
        <x:f>IF(COUNTA(A142:M142)=0,"",IF(OR(A142="",B142="",C142="",D142="",E142="",F142="",G142="",H142="",J142="",K142="",M142=""),"缺必填",IF(COUNTIF($A$2:$A$201,A142)&gt;1,"ID重复",IF(COUNTIF('任务登记'!$A$2:$A$201,B142)&lt;&gt;1,"任务ID无效","字段齐备"))))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10" t="str">
        <x:f>IF(COUNTA(A143:M143)=0,"",IF(OR(A143="",B143="",C143="",D143="",E143="",F143="",G143="",H143="",J143="",K143="",M143=""),"缺必填",IF(COUNTIF($A$2:$A$201,A143)&gt;1,"ID重复",IF(COUNTIF('任务登记'!$A$2:$A$201,B143)&lt;&gt;1,"任务ID无效","字段齐备"))))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10" t="str">
        <x:f>IF(COUNTA(A144:M144)=0,"",IF(OR(A144="",B144="",C144="",D144="",E144="",F144="",G144="",H144="",J144="",K144="",M144=""),"缺必填",IF(COUNTIF($A$2:$A$201,A144)&gt;1,"ID重复",IF(COUNTIF('任务登记'!$A$2:$A$201,B144)&lt;&gt;1,"任务ID无效","字段齐备"))))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10" t="str">
        <x:f>IF(COUNTA(A145:M145)=0,"",IF(OR(A145="",B145="",C145="",D145="",E145="",F145="",G145="",H145="",J145="",K145="",M145=""),"缺必填",IF(COUNTIF($A$2:$A$201,A145)&gt;1,"ID重复",IF(COUNTIF('任务登记'!$A$2:$A$201,B145)&lt;&gt;1,"任务ID无效","字段齐备"))))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10" t="str">
        <x:f>IF(COUNTA(A146:M146)=0,"",IF(OR(A146="",B146="",C146="",D146="",E146="",F146="",G146="",H146="",J146="",K146="",M146=""),"缺必填",IF(COUNTIF($A$2:$A$201,A146)&gt;1,"ID重复",IF(COUNTIF('任务登记'!$A$2:$A$201,B146)&lt;&gt;1,"任务ID无效","字段齐备"))))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10" t="str">
        <x:f>IF(COUNTA(A147:M147)=0,"",IF(OR(A147="",B147="",C147="",D147="",E147="",F147="",G147="",H147="",J147="",K147="",M147=""),"缺必填",IF(COUNTIF($A$2:$A$201,A147)&gt;1,"ID重复",IF(COUNTIF('任务登记'!$A$2:$A$201,B147)&lt;&gt;1,"任务ID无效","字段齐备"))))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10" t="str">
        <x:f>IF(COUNTA(A148:M148)=0,"",IF(OR(A148="",B148="",C148="",D148="",E148="",F148="",G148="",H148="",J148="",K148="",M148=""),"缺必填",IF(COUNTIF($A$2:$A$201,A148)&gt;1,"ID重复",IF(COUNTIF('任务登记'!$A$2:$A$201,B148)&lt;&gt;1,"任务ID无效","字段齐备"))))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10" t="str">
        <x:f>IF(COUNTA(A149:M149)=0,"",IF(OR(A149="",B149="",C149="",D149="",E149="",F149="",G149="",H149="",J149="",K149="",M149=""),"缺必填",IF(COUNTIF($A$2:$A$201,A149)&gt;1,"ID重复",IF(COUNTIF('任务登记'!$A$2:$A$201,B149)&lt;&gt;1,"任务ID无效","字段齐备"))))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10" t="str">
        <x:f>IF(COUNTA(A150:M150)=0,"",IF(OR(A150="",B150="",C150="",D150="",E150="",F150="",G150="",H150="",J150="",K150="",M150=""),"缺必填",IF(COUNTIF($A$2:$A$201,A150)&gt;1,"ID重复",IF(COUNTIF('任务登记'!$A$2:$A$201,B150)&lt;&gt;1,"任务ID无效","字段齐备"))))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10" t="str">
        <x:f>IF(COUNTA(A151:M151)=0,"",IF(OR(A151="",B151="",C151="",D151="",E151="",F151="",G151="",H151="",J151="",K151="",M151=""),"缺必填",IF(COUNTIF($A$2:$A$201,A151)&gt;1,"ID重复",IF(COUNTIF('任务登记'!$A$2:$A$201,B151)&lt;&gt;1,"任务ID无效","字段齐备"))))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10" t="str">
        <x:f>IF(COUNTA(A152:M152)=0,"",IF(OR(A152="",B152="",C152="",D152="",E152="",F152="",G152="",H152="",J152="",K152="",M152=""),"缺必填",IF(COUNTIF($A$2:$A$201,A152)&gt;1,"ID重复",IF(COUNTIF('任务登记'!$A$2:$A$201,B152)&lt;&gt;1,"任务ID无效","字段齐备"))))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10" t="str">
        <x:f>IF(COUNTA(A153:M153)=0,"",IF(OR(A153="",B153="",C153="",D153="",E153="",F153="",G153="",H153="",J153="",K153="",M153=""),"缺必填",IF(COUNTIF($A$2:$A$201,A153)&gt;1,"ID重复",IF(COUNTIF('任务登记'!$A$2:$A$201,B153)&lt;&gt;1,"任务ID无效","字段齐备"))))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10" t="str">
        <x:f>IF(COUNTA(A154:M154)=0,"",IF(OR(A154="",B154="",C154="",D154="",E154="",F154="",G154="",H154="",J154="",K154="",M154=""),"缺必填",IF(COUNTIF($A$2:$A$201,A154)&gt;1,"ID重复",IF(COUNTIF('任务登记'!$A$2:$A$201,B154)&lt;&gt;1,"任务ID无效","字段齐备"))))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10" t="str">
        <x:f>IF(COUNTA(A155:M155)=0,"",IF(OR(A155="",B155="",C155="",D155="",E155="",F155="",G155="",H155="",J155="",K155="",M155=""),"缺必填",IF(COUNTIF($A$2:$A$201,A155)&gt;1,"ID重复",IF(COUNTIF('任务登记'!$A$2:$A$201,B155)&lt;&gt;1,"任务ID无效","字段齐备"))))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10" t="str">
        <x:f>IF(COUNTA(A156:M156)=0,"",IF(OR(A156="",B156="",C156="",D156="",E156="",F156="",G156="",H156="",J156="",K156="",M156=""),"缺必填",IF(COUNTIF($A$2:$A$201,A156)&gt;1,"ID重复",IF(COUNTIF('任务登记'!$A$2:$A$201,B156)&lt;&gt;1,"任务ID无效","字段齐备"))))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10" t="str">
        <x:f>IF(COUNTA(A157:M157)=0,"",IF(OR(A157="",B157="",C157="",D157="",E157="",F157="",G157="",H157="",J157="",K157="",M157=""),"缺必填",IF(COUNTIF($A$2:$A$201,A157)&gt;1,"ID重复",IF(COUNTIF('任务登记'!$A$2:$A$201,B157)&lt;&gt;1,"任务ID无效","字段齐备"))))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10" t="str">
        <x:f>IF(COUNTA(A158:M158)=0,"",IF(OR(A158="",B158="",C158="",D158="",E158="",F158="",G158="",H158="",J158="",K158="",M158=""),"缺必填",IF(COUNTIF($A$2:$A$201,A158)&gt;1,"ID重复",IF(COUNTIF('任务登记'!$A$2:$A$201,B158)&lt;&gt;1,"任务ID无效","字段齐备"))))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10" t="str">
        <x:f>IF(COUNTA(A159:M159)=0,"",IF(OR(A159="",B159="",C159="",D159="",E159="",F159="",G159="",H159="",J159="",K159="",M159=""),"缺必填",IF(COUNTIF($A$2:$A$201,A159)&gt;1,"ID重复",IF(COUNTIF('任务登记'!$A$2:$A$201,B159)&lt;&gt;1,"任务ID无效","字段齐备"))))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10" t="str">
        <x:f>IF(COUNTA(A160:M160)=0,"",IF(OR(A160="",B160="",C160="",D160="",E160="",F160="",G160="",H160="",J160="",K160="",M160=""),"缺必填",IF(COUNTIF($A$2:$A$201,A160)&gt;1,"ID重复",IF(COUNTIF('任务登记'!$A$2:$A$201,B160)&lt;&gt;1,"任务ID无效","字段齐备"))))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10" t="str">
        <x:f>IF(COUNTA(A161:M161)=0,"",IF(OR(A161="",B161="",C161="",D161="",E161="",F161="",G161="",H161="",J161="",K161="",M161=""),"缺必填",IF(COUNTIF($A$2:$A$201,A161)&gt;1,"ID重复",IF(COUNTIF('任务登记'!$A$2:$A$201,B161)&lt;&gt;1,"任务ID无效","字段齐备"))))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10" t="str">
        <x:f>IF(COUNTA(A162:M162)=0,"",IF(OR(A162="",B162="",C162="",D162="",E162="",F162="",G162="",H162="",J162="",K162="",M162=""),"缺必填",IF(COUNTIF($A$2:$A$201,A162)&gt;1,"ID重复",IF(COUNTIF('任务登记'!$A$2:$A$201,B162)&lt;&gt;1,"任务ID无效","字段齐备"))))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10" t="str">
        <x:f>IF(COUNTA(A163:M163)=0,"",IF(OR(A163="",B163="",C163="",D163="",E163="",F163="",G163="",H163="",J163="",K163="",M163=""),"缺必填",IF(COUNTIF($A$2:$A$201,A163)&gt;1,"ID重复",IF(COUNTIF('任务登记'!$A$2:$A$201,B163)&lt;&gt;1,"任务ID无效","字段齐备"))))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10" t="str">
        <x:f>IF(COUNTA(A164:M164)=0,"",IF(OR(A164="",B164="",C164="",D164="",E164="",F164="",G164="",H164="",J164="",K164="",M164=""),"缺必填",IF(COUNTIF($A$2:$A$201,A164)&gt;1,"ID重复",IF(COUNTIF('任务登记'!$A$2:$A$201,B164)&lt;&gt;1,"任务ID无效","字段齐备"))))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10" t="str">
        <x:f>IF(COUNTA(A165:M165)=0,"",IF(OR(A165="",B165="",C165="",D165="",E165="",F165="",G165="",H165="",J165="",K165="",M165=""),"缺必填",IF(COUNTIF($A$2:$A$201,A165)&gt;1,"ID重复",IF(COUNTIF('任务登记'!$A$2:$A$201,B165)&lt;&gt;1,"任务ID无效","字段齐备"))))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10" t="str">
        <x:f>IF(COUNTA(A166:M166)=0,"",IF(OR(A166="",B166="",C166="",D166="",E166="",F166="",G166="",H166="",J166="",K166="",M166=""),"缺必填",IF(COUNTIF($A$2:$A$201,A166)&gt;1,"ID重复",IF(COUNTIF('任务登记'!$A$2:$A$201,B166)&lt;&gt;1,"任务ID无效","字段齐备"))))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10" t="str">
        <x:f>IF(COUNTA(A167:M167)=0,"",IF(OR(A167="",B167="",C167="",D167="",E167="",F167="",G167="",H167="",J167="",K167="",M167=""),"缺必填",IF(COUNTIF($A$2:$A$201,A167)&gt;1,"ID重复",IF(COUNTIF('任务登记'!$A$2:$A$201,B167)&lt;&gt;1,"任务ID无效","字段齐备"))))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10" t="str">
        <x:f>IF(COUNTA(A168:M168)=0,"",IF(OR(A168="",B168="",C168="",D168="",E168="",F168="",G168="",H168="",J168="",K168="",M168=""),"缺必填",IF(COUNTIF($A$2:$A$201,A168)&gt;1,"ID重复",IF(COUNTIF('任务登记'!$A$2:$A$201,B168)&lt;&gt;1,"任务ID无效","字段齐备"))))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10" t="str">
        <x:f>IF(COUNTA(A169:M169)=0,"",IF(OR(A169="",B169="",C169="",D169="",E169="",F169="",G169="",H169="",J169="",K169="",M169=""),"缺必填",IF(COUNTIF($A$2:$A$201,A169)&gt;1,"ID重复",IF(COUNTIF('任务登记'!$A$2:$A$201,B169)&lt;&gt;1,"任务ID无效","字段齐备"))))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10" t="str">
        <x:f>IF(COUNTA(A170:M170)=0,"",IF(OR(A170="",B170="",C170="",D170="",E170="",F170="",G170="",H170="",J170="",K170="",M170=""),"缺必填",IF(COUNTIF($A$2:$A$201,A170)&gt;1,"ID重复",IF(COUNTIF('任务登记'!$A$2:$A$201,B170)&lt;&gt;1,"任务ID无效","字段齐备"))))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10" t="str">
        <x:f>IF(COUNTA(A171:M171)=0,"",IF(OR(A171="",B171="",C171="",D171="",E171="",F171="",G171="",H171="",J171="",K171="",M171=""),"缺必填",IF(COUNTIF($A$2:$A$201,A171)&gt;1,"ID重复",IF(COUNTIF('任务登记'!$A$2:$A$201,B171)&lt;&gt;1,"任务ID无效","字段齐备"))))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10" t="str">
        <x:f>IF(COUNTA(A172:M172)=0,"",IF(OR(A172="",B172="",C172="",D172="",E172="",F172="",G172="",H172="",J172="",K172="",M172=""),"缺必填",IF(COUNTIF($A$2:$A$201,A172)&gt;1,"ID重复",IF(COUNTIF('任务登记'!$A$2:$A$201,B172)&lt;&gt;1,"任务ID无效","字段齐备"))))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10" t="str">
        <x:f>IF(COUNTA(A173:M173)=0,"",IF(OR(A173="",B173="",C173="",D173="",E173="",F173="",G173="",H173="",J173="",K173="",M173=""),"缺必填",IF(COUNTIF($A$2:$A$201,A173)&gt;1,"ID重复",IF(COUNTIF('任务登记'!$A$2:$A$201,B173)&lt;&gt;1,"任务ID无效","字段齐备"))))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10" t="str">
        <x:f>IF(COUNTA(A174:M174)=0,"",IF(OR(A174="",B174="",C174="",D174="",E174="",F174="",G174="",H174="",J174="",K174="",M174=""),"缺必填",IF(COUNTIF($A$2:$A$201,A174)&gt;1,"ID重复",IF(COUNTIF('任务登记'!$A$2:$A$201,B174)&lt;&gt;1,"任务ID无效","字段齐备"))))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10" t="str">
        <x:f>IF(COUNTA(A175:M175)=0,"",IF(OR(A175="",B175="",C175="",D175="",E175="",F175="",G175="",H175="",J175="",K175="",M175=""),"缺必填",IF(COUNTIF($A$2:$A$201,A175)&gt;1,"ID重复",IF(COUNTIF('任务登记'!$A$2:$A$201,B175)&lt;&gt;1,"任务ID无效","字段齐备"))))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10" t="str">
        <x:f>IF(COUNTA(A176:M176)=0,"",IF(OR(A176="",B176="",C176="",D176="",E176="",F176="",G176="",H176="",J176="",K176="",M176=""),"缺必填",IF(COUNTIF($A$2:$A$201,A176)&gt;1,"ID重复",IF(COUNTIF('任务登记'!$A$2:$A$201,B176)&lt;&gt;1,"任务ID无效","字段齐备"))))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10" t="str">
        <x:f>IF(COUNTA(A177:M177)=0,"",IF(OR(A177="",B177="",C177="",D177="",E177="",F177="",G177="",H177="",J177="",K177="",M177=""),"缺必填",IF(COUNTIF($A$2:$A$201,A177)&gt;1,"ID重复",IF(COUNTIF('任务登记'!$A$2:$A$201,B177)&lt;&gt;1,"任务ID无效","字段齐备"))))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10" t="str">
        <x:f>IF(COUNTA(A178:M178)=0,"",IF(OR(A178="",B178="",C178="",D178="",E178="",F178="",G178="",H178="",J178="",K178="",M178=""),"缺必填",IF(COUNTIF($A$2:$A$201,A178)&gt;1,"ID重复",IF(COUNTIF('任务登记'!$A$2:$A$201,B178)&lt;&gt;1,"任务ID无效","字段齐备"))))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10" t="str">
        <x:f>IF(COUNTA(A179:M179)=0,"",IF(OR(A179="",B179="",C179="",D179="",E179="",F179="",G179="",H179="",J179="",K179="",M179=""),"缺必填",IF(COUNTIF($A$2:$A$201,A179)&gt;1,"ID重复",IF(COUNTIF('任务登记'!$A$2:$A$201,B179)&lt;&gt;1,"任务ID无效","字段齐备"))))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10" t="str">
        <x:f>IF(COUNTA(A180:M180)=0,"",IF(OR(A180="",B180="",C180="",D180="",E180="",F180="",G180="",H180="",J180="",K180="",M180=""),"缺必填",IF(COUNTIF($A$2:$A$201,A180)&gt;1,"ID重复",IF(COUNTIF('任务登记'!$A$2:$A$201,B180)&lt;&gt;1,"任务ID无效","字段齐备"))))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10" t="str">
        <x:f>IF(COUNTA(A181:M181)=0,"",IF(OR(A181="",B181="",C181="",D181="",E181="",F181="",G181="",H181="",J181="",K181="",M181=""),"缺必填",IF(COUNTIF($A$2:$A$201,A181)&gt;1,"ID重复",IF(COUNTIF('任务登记'!$A$2:$A$201,B181)&lt;&gt;1,"任务ID无效","字段齐备"))))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10" t="str">
        <x:f>IF(COUNTA(A182:M182)=0,"",IF(OR(A182="",B182="",C182="",D182="",E182="",F182="",G182="",H182="",J182="",K182="",M182=""),"缺必填",IF(COUNTIF($A$2:$A$201,A182)&gt;1,"ID重复",IF(COUNTIF('任务登记'!$A$2:$A$201,B182)&lt;&gt;1,"任务ID无效","字段齐备"))))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10" t="str">
        <x:f>IF(COUNTA(A183:M183)=0,"",IF(OR(A183="",B183="",C183="",D183="",E183="",F183="",G183="",H183="",J183="",K183="",M183=""),"缺必填",IF(COUNTIF($A$2:$A$201,A183)&gt;1,"ID重复",IF(COUNTIF('任务登记'!$A$2:$A$201,B183)&lt;&gt;1,"任务ID无效","字段齐备"))))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10" t="str">
        <x:f>IF(COUNTA(A184:M184)=0,"",IF(OR(A184="",B184="",C184="",D184="",E184="",F184="",G184="",H184="",J184="",K184="",M184=""),"缺必填",IF(COUNTIF($A$2:$A$201,A184)&gt;1,"ID重复",IF(COUNTIF('任务登记'!$A$2:$A$201,B184)&lt;&gt;1,"任务ID无效","字段齐备"))))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10" t="str">
        <x:f>IF(COUNTA(A185:M185)=0,"",IF(OR(A185="",B185="",C185="",D185="",E185="",F185="",G185="",H185="",J185="",K185="",M185=""),"缺必填",IF(COUNTIF($A$2:$A$201,A185)&gt;1,"ID重复",IF(COUNTIF('任务登记'!$A$2:$A$201,B185)&lt;&gt;1,"任务ID无效","字段齐备"))))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10" t="str">
        <x:f>IF(COUNTA(A186:M186)=0,"",IF(OR(A186="",B186="",C186="",D186="",E186="",F186="",G186="",H186="",J186="",K186="",M186=""),"缺必填",IF(COUNTIF($A$2:$A$201,A186)&gt;1,"ID重复",IF(COUNTIF('任务登记'!$A$2:$A$201,B186)&lt;&gt;1,"任务ID无效","字段齐备"))))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10" t="str">
        <x:f>IF(COUNTA(A187:M187)=0,"",IF(OR(A187="",B187="",C187="",D187="",E187="",F187="",G187="",H187="",J187="",K187="",M187=""),"缺必填",IF(COUNTIF($A$2:$A$201,A187)&gt;1,"ID重复",IF(COUNTIF('任务登记'!$A$2:$A$201,B187)&lt;&gt;1,"任务ID无效","字段齐备"))))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10" t="str">
        <x:f>IF(COUNTA(A188:M188)=0,"",IF(OR(A188="",B188="",C188="",D188="",E188="",F188="",G188="",H188="",J188="",K188="",M188=""),"缺必填",IF(COUNTIF($A$2:$A$201,A188)&gt;1,"ID重复",IF(COUNTIF('任务登记'!$A$2:$A$201,B188)&lt;&gt;1,"任务ID无效","字段齐备"))))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10" t="str">
        <x:f>IF(COUNTA(A189:M189)=0,"",IF(OR(A189="",B189="",C189="",D189="",E189="",F189="",G189="",H189="",J189="",K189="",M189=""),"缺必填",IF(COUNTIF($A$2:$A$201,A189)&gt;1,"ID重复",IF(COUNTIF('任务登记'!$A$2:$A$201,B189)&lt;&gt;1,"任务ID无效","字段齐备"))))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10" t="str">
        <x:f>IF(COUNTA(A190:M190)=0,"",IF(OR(A190="",B190="",C190="",D190="",E190="",F190="",G190="",H190="",J190="",K190="",M190=""),"缺必填",IF(COUNTIF($A$2:$A$201,A190)&gt;1,"ID重复",IF(COUNTIF('任务登记'!$A$2:$A$201,B190)&lt;&gt;1,"任务ID无效","字段齐备"))))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10" t="str">
        <x:f>IF(COUNTA(A191:M191)=0,"",IF(OR(A191="",B191="",C191="",D191="",E191="",F191="",G191="",H191="",J191="",K191="",M191=""),"缺必填",IF(COUNTIF($A$2:$A$201,A191)&gt;1,"ID重复",IF(COUNTIF('任务登记'!$A$2:$A$201,B191)&lt;&gt;1,"任务ID无效","字段齐备"))))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10" t="str">
        <x:f>IF(COUNTA(A192:M192)=0,"",IF(OR(A192="",B192="",C192="",D192="",E192="",F192="",G192="",H192="",J192="",K192="",M192=""),"缺必填",IF(COUNTIF($A$2:$A$201,A192)&gt;1,"ID重复",IF(COUNTIF('任务登记'!$A$2:$A$201,B192)&lt;&gt;1,"任务ID无效","字段齐备"))))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10" t="str">
        <x:f>IF(COUNTA(A193:M193)=0,"",IF(OR(A193="",B193="",C193="",D193="",E193="",F193="",G193="",H193="",J193="",K193="",M193=""),"缺必填",IF(COUNTIF($A$2:$A$201,A193)&gt;1,"ID重复",IF(COUNTIF('任务登记'!$A$2:$A$201,B193)&lt;&gt;1,"任务ID无效","字段齐备"))))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10" t="str">
        <x:f>IF(COUNTA(A194:M194)=0,"",IF(OR(A194="",B194="",C194="",D194="",E194="",F194="",G194="",H194="",J194="",K194="",M194=""),"缺必填",IF(COUNTIF($A$2:$A$201,A194)&gt;1,"ID重复",IF(COUNTIF('任务登记'!$A$2:$A$201,B194)&lt;&gt;1,"任务ID无效","字段齐备"))))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10" t="str">
        <x:f>IF(COUNTA(A195:M195)=0,"",IF(OR(A195="",B195="",C195="",D195="",E195="",F195="",G195="",H195="",J195="",K195="",M195=""),"缺必填",IF(COUNTIF($A$2:$A$201,A195)&gt;1,"ID重复",IF(COUNTIF('任务登记'!$A$2:$A$201,B195)&lt;&gt;1,"任务ID无效","字段齐备"))))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10" t="str">
        <x:f>IF(COUNTA(A196:M196)=0,"",IF(OR(A196="",B196="",C196="",D196="",E196="",F196="",G196="",H196="",J196="",K196="",M196=""),"缺必填",IF(COUNTIF($A$2:$A$201,A196)&gt;1,"ID重复",IF(COUNTIF('任务登记'!$A$2:$A$201,B196)&lt;&gt;1,"任务ID无效","字段齐备"))))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10" t="str">
        <x:f>IF(COUNTA(A197:M197)=0,"",IF(OR(A197="",B197="",C197="",D197="",E197="",F197="",G197="",H197="",J197="",K197="",M197=""),"缺必填",IF(COUNTIF($A$2:$A$201,A197)&gt;1,"ID重复",IF(COUNTIF('任务登记'!$A$2:$A$201,B197)&lt;&gt;1,"任务ID无效","字段齐备"))))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10" t="str">
        <x:f>IF(COUNTA(A198:M198)=0,"",IF(OR(A198="",B198="",C198="",D198="",E198="",F198="",G198="",H198="",J198="",K198="",M198=""),"缺必填",IF(COUNTIF($A$2:$A$201,A198)&gt;1,"ID重复",IF(COUNTIF('任务登记'!$A$2:$A$201,B198)&lt;&gt;1,"任务ID无效","字段齐备"))))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10" t="str">
        <x:f>IF(COUNTA(A199:M199)=0,"",IF(OR(A199="",B199="",C199="",D199="",E199="",F199="",G199="",H199="",J199="",K199="",M199=""),"缺必填",IF(COUNTIF($A$2:$A$201,A199)&gt;1,"ID重复",IF(COUNTIF('任务登记'!$A$2:$A$201,B199)&lt;&gt;1,"任务ID无效","字段齐备"))))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10" t="str">
        <x:f>IF(COUNTA(A200:M200)=0,"",IF(OR(A200="",B200="",C200="",D200="",E200="",F200="",G200="",H200="",J200="",K200="",M200=""),"缺必填",IF(COUNTIF($A$2:$A$201,A200)&gt;1,"ID重复",IF(COUNTIF('任务登记'!$A$2:$A$201,B200)&lt;&gt;1,"任务ID无效","字段齐备"))))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10" t="str">
        <x:f>IF(COUNTA(A201:M201)=0,"",IF(OR(A201="",B201="",C201="",D201="",E201="",F201="",G201="",H201="",J201="",K201="",M201=""),"缺必填",IF(COUNTIF($A$2:$A$201,A201)&gt;1,"ID重复",IF(COUNTIF('任务登记'!$A$2:$A$201,B201)&lt;&gt;1,"任务ID无效","字段齐备"))))</x:f>
      </x:c>
    </x:row>
  </x:sheetData>
  <x:conditionalFormatting sqref="A2:N201">
    <x:cfRule type="expression" dxfId="9" priority="1">
      <x:formula>AND($N2&lt;&gt;"",$N2&lt;&gt;"字段齐备")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9dbad39519414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0" hidden="0" customWidth="1"/>
    <x:col min="14" max="14" width="44" hidden="0" customWidth="1"/>
    <x:col min="15" max="15" width="22" hidden="0" customWidth="1"/>
    <x:col min="16" max="16" width="22" hidden="0" customWidth="1"/>
    <x:col min="17" max="17" width="22" hidden="0" customWidth="1"/>
    <x:col min="18" max="18" width="20" hidden="0" customWidth="1"/>
  </x:cols>
  <x:sheetData>
    <x:row r="1" ht="52" customHeight="1">
      <x:c r="A1" s="6" t="str">
        <x:v>处置ID</x:v>
      </x:c>
      <x:c r="B1" s="6" t="str">
        <x:v>任务ID</x:v>
      </x:c>
      <x:c r="C1" s="6" t="str">
        <x:v>更新ID</x:v>
      </x:c>
      <x:c r="D1" s="6" t="str">
        <x:v>更新材料ID</x:v>
      </x:c>
      <x:c r="E1" s="6" t="str">
        <x:v>更新类型</x:v>
      </x:c>
      <x:c r="F1" s="6" t="str">
        <x:v>旧论证ID</x:v>
      </x:c>
      <x:c r="G1" s="6" t="str">
        <x:v>处置R</x:v>
      </x:c>
      <x:c r="H1" s="6" t="str">
        <x:v>影响范围</x:v>
      </x:c>
      <x:c r="I1" s="6" t="str">
        <x:v>对应CQ</x:v>
      </x:c>
      <x:c r="J1" s="6" t="str">
        <x:v>挑战效果</x:v>
      </x:c>
      <x:c r="K1" s="6" t="str">
        <x:v>谱系类型</x:v>
      </x:c>
      <x:c r="L1" s="6" t="str">
        <x:v>更新后论证记录ID</x:v>
      </x:c>
      <x:c r="M1" s="6" t="str">
        <x:v>依据片段ID</x:v>
      </x:c>
      <x:c r="N1" s="6" t="str">
        <x:v>处置理由</x:v>
      </x:c>
      <x:c r="O1" s="6" t="str">
        <x:v>仍需保留的信息</x:v>
      </x:c>
      <x:c r="P1" s="6" t="str">
        <x:v>旧依据使用范围</x:v>
      </x:c>
      <x:c r="Q1" s="6" t="str">
        <x:v>实质冲突</x:v>
      </x:c>
      <x:c r="R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10" t="str">
        <x:f>IF(COUNTA(A2:Q2)=0,"",IF(OR(A2="",B2="",C2="",D2="",E2="",F2="",G2="",H2="",I2="",J2="",K2="",M2="",N2="",O2="",P2=""),"缺必填",IF(COUNTIF($A$2:$A$201,A2)&gt;1,"ID重复",IF(COUNTIF('任务登记'!$A$2:$A$201,B2)&lt;&gt;1,"任务ID无效",IF(COUNTIF('材料'!$A$2:$A$201,D2)&lt;&gt;1,"材料ID无效",IF(INDEX('材料'!$B$2:$B$201,MATCH(D2,'材料'!$A$2:$A$201,0))&lt;&gt;INDEX('任务登记'!$B$2:$B$201,MATCH(B2,'任务登记'!$A$2:$A$201,0)),"材料与任务跨案",IF(ISERROR(SEARCH(";"&amp;D2&amp;";",";"&amp;INDEX('任务登记'!$H$2:$H$201,MATCH(B2,'任务登记'!$A$2:$A$201,0))&amp;";")),"材料不在可见清单",IF(COUNTIF('要件与标签'!$D$23:$D$29,INDEX('材料'!$H$2:$H$201,MATCH(D2,'材料'!$A$2:$A$201,0)))&lt;&gt;1,"材料阶段无效",IF(COUNTIF('要件与标签'!$D$23:$D$29,INDEX('任务登记'!$G$2:$G$201,MATCH(B2,'任务登记'!$A$2:$A$201,0)))&lt;&gt;1,"任务阶段无效",IF(MATCH(INDEX('材料'!$H$2:$H$201,MATCH(D2,'材料'!$A$2:$A$201,0)),'要件与标签'!$D$23:$D$29,0)&gt;MATCH(INDEX('任务登记'!$G$2:$G$201,MATCH(B2,'任务登记'!$A$2:$A$201,0)),'要件与标签'!$D$23:$D$29,0),"引用未来材料",IF(AND(G2="REVISE",L2=""),"修订缺新记录",IF(AND(G2="PENDING",Q2=""),"待核缺实质冲突",IF(AND(H2="不受影响",G2&lt;&gt;"KEEP"),"核对范围与处置","字段齐备")))))))))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10" t="str">
        <x:f>IF(COUNTA(A3:Q3)=0,"",IF(OR(A3="",B3="",C3="",D3="",E3="",F3="",G3="",H3="",I3="",J3="",K3="",M3="",N3="",O3="",P3=""),"缺必填",IF(COUNTIF($A$2:$A$201,A3)&gt;1,"ID重复",IF(COUNTIF('任务登记'!$A$2:$A$201,B3)&lt;&gt;1,"任务ID无效",IF(COUNTIF('材料'!$A$2:$A$201,D3)&lt;&gt;1,"材料ID无效",IF(INDEX('材料'!$B$2:$B$201,MATCH(D3,'材料'!$A$2:$A$201,0))&lt;&gt;INDEX('任务登记'!$B$2:$B$201,MATCH(B3,'任务登记'!$A$2:$A$201,0)),"材料与任务跨案",IF(ISERROR(SEARCH(";"&amp;D3&amp;";",";"&amp;INDEX('任务登记'!$H$2:$H$201,MATCH(B3,'任务登记'!$A$2:$A$201,0))&amp;";")),"材料不在可见清单",IF(COUNTIF('要件与标签'!$D$23:$D$29,INDEX('材料'!$H$2:$H$201,MATCH(D3,'材料'!$A$2:$A$201,0)))&lt;&gt;1,"材料阶段无效",IF(COUNTIF('要件与标签'!$D$23:$D$29,INDEX('任务登记'!$G$2:$G$201,MATCH(B3,'任务登记'!$A$2:$A$201,0)))&lt;&gt;1,"任务阶段无效",IF(MATCH(INDEX('材料'!$H$2:$H$201,MATCH(D3,'材料'!$A$2:$A$201,0)),'要件与标签'!$D$23:$D$29,0)&gt;MATCH(INDEX('任务登记'!$G$2:$G$201,MATCH(B3,'任务登记'!$A$2:$A$201,0)),'要件与标签'!$D$23:$D$29,0),"引用未来材料",IF(AND(G3="REVISE",L3=""),"修订缺新记录",IF(AND(G3="PENDING",Q3=""),"待核缺实质冲突",IF(AND(H3="不受影响",G3&lt;&gt;"KEEP"),"核对范围与处置","字段齐备")))))))))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10" t="str">
        <x:f>IF(COUNTA(A4:Q4)=0,"",IF(OR(A4="",B4="",C4="",D4="",E4="",F4="",G4="",H4="",I4="",J4="",K4="",M4="",N4="",O4="",P4=""),"缺必填",IF(COUNTIF($A$2:$A$201,A4)&gt;1,"ID重复",IF(COUNTIF('任务登记'!$A$2:$A$201,B4)&lt;&gt;1,"任务ID无效",IF(COUNTIF('材料'!$A$2:$A$201,D4)&lt;&gt;1,"材料ID无效",IF(INDEX('材料'!$B$2:$B$201,MATCH(D4,'材料'!$A$2:$A$201,0))&lt;&gt;INDEX('任务登记'!$B$2:$B$201,MATCH(B4,'任务登记'!$A$2:$A$201,0)),"材料与任务跨案",IF(ISERROR(SEARCH(";"&amp;D4&amp;";",";"&amp;INDEX('任务登记'!$H$2:$H$201,MATCH(B4,'任务登记'!$A$2:$A$201,0))&amp;";")),"材料不在可见清单",IF(COUNTIF('要件与标签'!$D$23:$D$29,INDEX('材料'!$H$2:$H$201,MATCH(D4,'材料'!$A$2:$A$201,0)))&lt;&gt;1,"材料阶段无效",IF(COUNTIF('要件与标签'!$D$23:$D$29,INDEX('任务登记'!$G$2:$G$201,MATCH(B4,'任务登记'!$A$2:$A$201,0)))&lt;&gt;1,"任务阶段无效",IF(MATCH(INDEX('材料'!$H$2:$H$201,MATCH(D4,'材料'!$A$2:$A$201,0)),'要件与标签'!$D$23:$D$29,0)&gt;MATCH(INDEX('任务登记'!$G$2:$G$201,MATCH(B4,'任务登记'!$A$2:$A$201,0)),'要件与标签'!$D$23:$D$29,0),"引用未来材料",IF(AND(G4="REVISE",L4=""),"修订缺新记录",IF(AND(G4="PENDING",Q4=""),"待核缺实质冲突",IF(AND(H4="不受影响",G4&lt;&gt;"KEEP"),"核对范围与处置","字段齐备")))))))))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10" t="str">
        <x:f>IF(COUNTA(A5:Q5)=0,"",IF(OR(A5="",B5="",C5="",D5="",E5="",F5="",G5="",H5="",I5="",J5="",K5="",M5="",N5="",O5="",P5=""),"缺必填",IF(COUNTIF($A$2:$A$201,A5)&gt;1,"ID重复",IF(COUNTIF('任务登记'!$A$2:$A$201,B5)&lt;&gt;1,"任务ID无效",IF(COUNTIF('材料'!$A$2:$A$201,D5)&lt;&gt;1,"材料ID无效",IF(INDEX('材料'!$B$2:$B$201,MATCH(D5,'材料'!$A$2:$A$201,0))&lt;&gt;INDEX('任务登记'!$B$2:$B$201,MATCH(B5,'任务登记'!$A$2:$A$201,0)),"材料与任务跨案",IF(ISERROR(SEARCH(";"&amp;D5&amp;";",";"&amp;INDEX('任务登记'!$H$2:$H$201,MATCH(B5,'任务登记'!$A$2:$A$201,0))&amp;";")),"材料不在可见清单",IF(COUNTIF('要件与标签'!$D$23:$D$29,INDEX('材料'!$H$2:$H$201,MATCH(D5,'材料'!$A$2:$A$201,0)))&lt;&gt;1,"材料阶段无效",IF(COUNTIF('要件与标签'!$D$23:$D$29,INDEX('任务登记'!$G$2:$G$201,MATCH(B5,'任务登记'!$A$2:$A$201,0)))&lt;&gt;1,"任务阶段无效",IF(MATCH(INDEX('材料'!$H$2:$H$201,MATCH(D5,'材料'!$A$2:$A$201,0)),'要件与标签'!$D$23:$D$29,0)&gt;MATCH(INDEX('任务登记'!$G$2:$G$201,MATCH(B5,'任务登记'!$A$2:$A$201,0)),'要件与标签'!$D$23:$D$29,0),"引用未来材料",IF(AND(G5="REVISE",L5=""),"修订缺新记录",IF(AND(G5="PENDING",Q5=""),"待核缺实质冲突",IF(AND(H5="不受影响",G5&lt;&gt;"KEEP"),"核对范围与处置","字段齐备")))))))))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10" t="str">
        <x:f>IF(COUNTA(A6:Q6)=0,"",IF(OR(A6="",B6="",C6="",D6="",E6="",F6="",G6="",H6="",I6="",J6="",K6="",M6="",N6="",O6="",P6=""),"缺必填",IF(COUNTIF($A$2:$A$201,A6)&gt;1,"ID重复",IF(COUNTIF('任务登记'!$A$2:$A$201,B6)&lt;&gt;1,"任务ID无效",IF(COUNTIF('材料'!$A$2:$A$201,D6)&lt;&gt;1,"材料ID无效",IF(INDEX('材料'!$B$2:$B$201,MATCH(D6,'材料'!$A$2:$A$201,0))&lt;&gt;INDEX('任务登记'!$B$2:$B$201,MATCH(B6,'任务登记'!$A$2:$A$201,0)),"材料与任务跨案",IF(ISERROR(SEARCH(";"&amp;D6&amp;";",";"&amp;INDEX('任务登记'!$H$2:$H$201,MATCH(B6,'任务登记'!$A$2:$A$201,0))&amp;";")),"材料不在可见清单",IF(COUNTIF('要件与标签'!$D$23:$D$29,INDEX('材料'!$H$2:$H$201,MATCH(D6,'材料'!$A$2:$A$201,0)))&lt;&gt;1,"材料阶段无效",IF(COUNTIF('要件与标签'!$D$23:$D$29,INDEX('任务登记'!$G$2:$G$201,MATCH(B6,'任务登记'!$A$2:$A$201,0)))&lt;&gt;1,"任务阶段无效",IF(MATCH(INDEX('材料'!$H$2:$H$201,MATCH(D6,'材料'!$A$2:$A$201,0)),'要件与标签'!$D$23:$D$29,0)&gt;MATCH(INDEX('任务登记'!$G$2:$G$201,MATCH(B6,'任务登记'!$A$2:$A$201,0)),'要件与标签'!$D$23:$D$29,0),"引用未来材料",IF(AND(G6="REVISE",L6=""),"修订缺新记录",IF(AND(G6="PENDING",Q6=""),"待核缺实质冲突",IF(AND(H6="不受影响",G6&lt;&gt;"KEEP"),"核对范围与处置","字段齐备")))))))))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10" t="str">
        <x:f>IF(COUNTA(A7:Q7)=0,"",IF(OR(A7="",B7="",C7="",D7="",E7="",F7="",G7="",H7="",I7="",J7="",K7="",M7="",N7="",O7="",P7=""),"缺必填",IF(COUNTIF($A$2:$A$201,A7)&gt;1,"ID重复",IF(COUNTIF('任务登记'!$A$2:$A$201,B7)&lt;&gt;1,"任务ID无效",IF(COUNTIF('材料'!$A$2:$A$201,D7)&lt;&gt;1,"材料ID无效",IF(INDEX('材料'!$B$2:$B$201,MATCH(D7,'材料'!$A$2:$A$201,0))&lt;&gt;INDEX('任务登记'!$B$2:$B$201,MATCH(B7,'任务登记'!$A$2:$A$201,0)),"材料与任务跨案",IF(ISERROR(SEARCH(";"&amp;D7&amp;";",";"&amp;INDEX('任务登记'!$H$2:$H$201,MATCH(B7,'任务登记'!$A$2:$A$201,0))&amp;";")),"材料不在可见清单",IF(COUNTIF('要件与标签'!$D$23:$D$29,INDEX('材料'!$H$2:$H$201,MATCH(D7,'材料'!$A$2:$A$201,0)))&lt;&gt;1,"材料阶段无效",IF(COUNTIF('要件与标签'!$D$23:$D$29,INDEX('任务登记'!$G$2:$G$201,MATCH(B7,'任务登记'!$A$2:$A$201,0)))&lt;&gt;1,"任务阶段无效",IF(MATCH(INDEX('材料'!$H$2:$H$201,MATCH(D7,'材料'!$A$2:$A$201,0)),'要件与标签'!$D$23:$D$29,0)&gt;MATCH(INDEX('任务登记'!$G$2:$G$201,MATCH(B7,'任务登记'!$A$2:$A$201,0)),'要件与标签'!$D$23:$D$29,0),"引用未来材料",IF(AND(G7="REVISE",L7=""),"修订缺新记录",IF(AND(G7="PENDING",Q7=""),"待核缺实质冲突",IF(AND(H7="不受影响",G7&lt;&gt;"KEEP"),"核对范围与处置","字段齐备")))))))))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10" t="str">
        <x:f>IF(COUNTA(A8:Q8)=0,"",IF(OR(A8="",B8="",C8="",D8="",E8="",F8="",G8="",H8="",I8="",J8="",K8="",M8="",N8="",O8="",P8=""),"缺必填",IF(COUNTIF($A$2:$A$201,A8)&gt;1,"ID重复",IF(COUNTIF('任务登记'!$A$2:$A$201,B8)&lt;&gt;1,"任务ID无效",IF(COUNTIF('材料'!$A$2:$A$201,D8)&lt;&gt;1,"材料ID无效",IF(INDEX('材料'!$B$2:$B$201,MATCH(D8,'材料'!$A$2:$A$201,0))&lt;&gt;INDEX('任务登记'!$B$2:$B$201,MATCH(B8,'任务登记'!$A$2:$A$201,0)),"材料与任务跨案",IF(ISERROR(SEARCH(";"&amp;D8&amp;";",";"&amp;INDEX('任务登记'!$H$2:$H$201,MATCH(B8,'任务登记'!$A$2:$A$201,0))&amp;";")),"材料不在可见清单",IF(COUNTIF('要件与标签'!$D$23:$D$29,INDEX('材料'!$H$2:$H$201,MATCH(D8,'材料'!$A$2:$A$201,0)))&lt;&gt;1,"材料阶段无效",IF(COUNTIF('要件与标签'!$D$23:$D$29,INDEX('任务登记'!$G$2:$G$201,MATCH(B8,'任务登记'!$A$2:$A$201,0)))&lt;&gt;1,"任务阶段无效",IF(MATCH(INDEX('材料'!$H$2:$H$201,MATCH(D8,'材料'!$A$2:$A$201,0)),'要件与标签'!$D$23:$D$29,0)&gt;MATCH(INDEX('任务登记'!$G$2:$G$201,MATCH(B8,'任务登记'!$A$2:$A$201,0)),'要件与标签'!$D$23:$D$29,0),"引用未来材料",IF(AND(G8="REVISE",L8=""),"修订缺新记录",IF(AND(G8="PENDING",Q8=""),"待核缺实质冲突",IF(AND(H8="不受影响",G8&lt;&gt;"KEEP"),"核对范围与处置","字段齐备")))))))))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10" t="str">
        <x:f>IF(COUNTA(A9:Q9)=0,"",IF(OR(A9="",B9="",C9="",D9="",E9="",F9="",G9="",H9="",I9="",J9="",K9="",M9="",N9="",O9="",P9=""),"缺必填",IF(COUNTIF($A$2:$A$201,A9)&gt;1,"ID重复",IF(COUNTIF('任务登记'!$A$2:$A$201,B9)&lt;&gt;1,"任务ID无效",IF(COUNTIF('材料'!$A$2:$A$201,D9)&lt;&gt;1,"材料ID无效",IF(INDEX('材料'!$B$2:$B$201,MATCH(D9,'材料'!$A$2:$A$201,0))&lt;&gt;INDEX('任务登记'!$B$2:$B$201,MATCH(B9,'任务登记'!$A$2:$A$201,0)),"材料与任务跨案",IF(ISERROR(SEARCH(";"&amp;D9&amp;";",";"&amp;INDEX('任务登记'!$H$2:$H$201,MATCH(B9,'任务登记'!$A$2:$A$201,0))&amp;";")),"材料不在可见清单",IF(COUNTIF('要件与标签'!$D$23:$D$29,INDEX('材料'!$H$2:$H$201,MATCH(D9,'材料'!$A$2:$A$201,0)))&lt;&gt;1,"材料阶段无效",IF(COUNTIF('要件与标签'!$D$23:$D$29,INDEX('任务登记'!$G$2:$G$201,MATCH(B9,'任务登记'!$A$2:$A$201,0)))&lt;&gt;1,"任务阶段无效",IF(MATCH(INDEX('材料'!$H$2:$H$201,MATCH(D9,'材料'!$A$2:$A$201,0)),'要件与标签'!$D$23:$D$29,0)&gt;MATCH(INDEX('任务登记'!$G$2:$G$201,MATCH(B9,'任务登记'!$A$2:$A$201,0)),'要件与标签'!$D$23:$D$29,0),"引用未来材料",IF(AND(G9="REVISE",L9=""),"修订缺新记录",IF(AND(G9="PENDING",Q9=""),"待核缺实质冲突",IF(AND(H9="不受影响",G9&lt;&gt;"KEEP"),"核对范围与处置","字段齐备")))))))))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10" t="str">
        <x:f>IF(COUNTA(A10:Q10)=0,"",IF(OR(A10="",B10="",C10="",D10="",E10="",F10="",G10="",H10="",I10="",J10="",K10="",M10="",N10="",O10="",P10=""),"缺必填",IF(COUNTIF($A$2:$A$201,A10)&gt;1,"ID重复",IF(COUNTIF('任务登记'!$A$2:$A$201,B10)&lt;&gt;1,"任务ID无效",IF(COUNTIF('材料'!$A$2:$A$201,D10)&lt;&gt;1,"材料ID无效",IF(INDEX('材料'!$B$2:$B$201,MATCH(D10,'材料'!$A$2:$A$201,0))&lt;&gt;INDEX('任务登记'!$B$2:$B$201,MATCH(B10,'任务登记'!$A$2:$A$201,0)),"材料与任务跨案",IF(ISERROR(SEARCH(";"&amp;D10&amp;";",";"&amp;INDEX('任务登记'!$H$2:$H$201,MATCH(B10,'任务登记'!$A$2:$A$201,0))&amp;";")),"材料不在可见清单",IF(COUNTIF('要件与标签'!$D$23:$D$29,INDEX('材料'!$H$2:$H$201,MATCH(D10,'材料'!$A$2:$A$201,0)))&lt;&gt;1,"材料阶段无效",IF(COUNTIF('要件与标签'!$D$23:$D$29,INDEX('任务登记'!$G$2:$G$201,MATCH(B10,'任务登记'!$A$2:$A$201,0)))&lt;&gt;1,"任务阶段无效",IF(MATCH(INDEX('材料'!$H$2:$H$201,MATCH(D10,'材料'!$A$2:$A$201,0)),'要件与标签'!$D$23:$D$29,0)&gt;MATCH(INDEX('任务登记'!$G$2:$G$201,MATCH(B10,'任务登记'!$A$2:$A$201,0)),'要件与标签'!$D$23:$D$29,0),"引用未来材料",IF(AND(G10="REVISE",L10=""),"修订缺新记录",IF(AND(G10="PENDING",Q10=""),"待核缺实质冲突",IF(AND(H10="不受影响",G10&lt;&gt;"KEEP"),"核对范围与处置","字段齐备")))))))))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10" t="str">
        <x:f>IF(COUNTA(A11:Q11)=0,"",IF(OR(A11="",B11="",C11="",D11="",E11="",F11="",G11="",H11="",I11="",J11="",K11="",M11="",N11="",O11="",P11=""),"缺必填",IF(COUNTIF($A$2:$A$201,A11)&gt;1,"ID重复",IF(COUNTIF('任务登记'!$A$2:$A$201,B11)&lt;&gt;1,"任务ID无效",IF(COUNTIF('材料'!$A$2:$A$201,D11)&lt;&gt;1,"材料ID无效",IF(INDEX('材料'!$B$2:$B$201,MATCH(D11,'材料'!$A$2:$A$201,0))&lt;&gt;INDEX('任务登记'!$B$2:$B$201,MATCH(B11,'任务登记'!$A$2:$A$201,0)),"材料与任务跨案",IF(ISERROR(SEARCH(";"&amp;D11&amp;";",";"&amp;INDEX('任务登记'!$H$2:$H$201,MATCH(B11,'任务登记'!$A$2:$A$201,0))&amp;";")),"材料不在可见清单",IF(COUNTIF('要件与标签'!$D$23:$D$29,INDEX('材料'!$H$2:$H$201,MATCH(D11,'材料'!$A$2:$A$201,0)))&lt;&gt;1,"材料阶段无效",IF(COUNTIF('要件与标签'!$D$23:$D$29,INDEX('任务登记'!$G$2:$G$201,MATCH(B11,'任务登记'!$A$2:$A$201,0)))&lt;&gt;1,"任务阶段无效",IF(MATCH(INDEX('材料'!$H$2:$H$201,MATCH(D11,'材料'!$A$2:$A$201,0)),'要件与标签'!$D$23:$D$29,0)&gt;MATCH(INDEX('任务登记'!$G$2:$G$201,MATCH(B11,'任务登记'!$A$2:$A$201,0)),'要件与标签'!$D$23:$D$29,0),"引用未来材料",IF(AND(G11="REVISE",L11=""),"修订缺新记录",IF(AND(G11="PENDING",Q11=""),"待核缺实质冲突",IF(AND(H11="不受影响",G11&lt;&gt;"KEEP"),"核对范围与处置","字段齐备")))))))))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10" t="str">
        <x:f>IF(COUNTA(A12:Q12)=0,"",IF(OR(A12="",B12="",C12="",D12="",E12="",F12="",G12="",H12="",I12="",J12="",K12="",M12="",N12="",O12="",P12=""),"缺必填",IF(COUNTIF($A$2:$A$201,A12)&gt;1,"ID重复",IF(COUNTIF('任务登记'!$A$2:$A$201,B12)&lt;&gt;1,"任务ID无效",IF(COUNTIF('材料'!$A$2:$A$201,D12)&lt;&gt;1,"材料ID无效",IF(INDEX('材料'!$B$2:$B$201,MATCH(D12,'材料'!$A$2:$A$201,0))&lt;&gt;INDEX('任务登记'!$B$2:$B$201,MATCH(B12,'任务登记'!$A$2:$A$201,0)),"材料与任务跨案",IF(ISERROR(SEARCH(";"&amp;D12&amp;";",";"&amp;INDEX('任务登记'!$H$2:$H$201,MATCH(B12,'任务登记'!$A$2:$A$201,0))&amp;";")),"材料不在可见清单",IF(COUNTIF('要件与标签'!$D$23:$D$29,INDEX('材料'!$H$2:$H$201,MATCH(D12,'材料'!$A$2:$A$201,0)))&lt;&gt;1,"材料阶段无效",IF(COUNTIF('要件与标签'!$D$23:$D$29,INDEX('任务登记'!$G$2:$G$201,MATCH(B12,'任务登记'!$A$2:$A$201,0)))&lt;&gt;1,"任务阶段无效",IF(MATCH(INDEX('材料'!$H$2:$H$201,MATCH(D12,'材料'!$A$2:$A$201,0)),'要件与标签'!$D$23:$D$29,0)&gt;MATCH(INDEX('任务登记'!$G$2:$G$201,MATCH(B12,'任务登记'!$A$2:$A$201,0)),'要件与标签'!$D$23:$D$29,0),"引用未来材料",IF(AND(G12="REVISE",L12=""),"修订缺新记录",IF(AND(G12="PENDING",Q12=""),"待核缺实质冲突",IF(AND(H12="不受影响",G12&lt;&gt;"KEEP"),"核对范围与处置","字段齐备")))))))))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10" t="str">
        <x:f>IF(COUNTA(A13:Q13)=0,"",IF(OR(A13="",B13="",C13="",D13="",E13="",F13="",G13="",H13="",I13="",J13="",K13="",M13="",N13="",O13="",P13=""),"缺必填",IF(COUNTIF($A$2:$A$201,A13)&gt;1,"ID重复",IF(COUNTIF('任务登记'!$A$2:$A$201,B13)&lt;&gt;1,"任务ID无效",IF(COUNTIF('材料'!$A$2:$A$201,D13)&lt;&gt;1,"材料ID无效",IF(INDEX('材料'!$B$2:$B$201,MATCH(D13,'材料'!$A$2:$A$201,0))&lt;&gt;INDEX('任务登记'!$B$2:$B$201,MATCH(B13,'任务登记'!$A$2:$A$201,0)),"材料与任务跨案",IF(ISERROR(SEARCH(";"&amp;D13&amp;";",";"&amp;INDEX('任务登记'!$H$2:$H$201,MATCH(B13,'任务登记'!$A$2:$A$201,0))&amp;";")),"材料不在可见清单",IF(COUNTIF('要件与标签'!$D$23:$D$29,INDEX('材料'!$H$2:$H$201,MATCH(D13,'材料'!$A$2:$A$201,0)))&lt;&gt;1,"材料阶段无效",IF(COUNTIF('要件与标签'!$D$23:$D$29,INDEX('任务登记'!$G$2:$G$201,MATCH(B13,'任务登记'!$A$2:$A$201,0)))&lt;&gt;1,"任务阶段无效",IF(MATCH(INDEX('材料'!$H$2:$H$201,MATCH(D13,'材料'!$A$2:$A$201,0)),'要件与标签'!$D$23:$D$29,0)&gt;MATCH(INDEX('任务登记'!$G$2:$G$201,MATCH(B13,'任务登记'!$A$2:$A$201,0)),'要件与标签'!$D$23:$D$29,0),"引用未来材料",IF(AND(G13="REVISE",L13=""),"修订缺新记录",IF(AND(G13="PENDING",Q13=""),"待核缺实质冲突",IF(AND(H13="不受影响",G13&lt;&gt;"KEEP"),"核对范围与处置","字段齐备")))))))))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10" t="str">
        <x:f>IF(COUNTA(A14:Q14)=0,"",IF(OR(A14="",B14="",C14="",D14="",E14="",F14="",G14="",H14="",I14="",J14="",K14="",M14="",N14="",O14="",P14=""),"缺必填",IF(COUNTIF($A$2:$A$201,A14)&gt;1,"ID重复",IF(COUNTIF('任务登记'!$A$2:$A$201,B14)&lt;&gt;1,"任务ID无效",IF(COUNTIF('材料'!$A$2:$A$201,D14)&lt;&gt;1,"材料ID无效",IF(INDEX('材料'!$B$2:$B$201,MATCH(D14,'材料'!$A$2:$A$201,0))&lt;&gt;INDEX('任务登记'!$B$2:$B$201,MATCH(B14,'任务登记'!$A$2:$A$201,0)),"材料与任务跨案",IF(ISERROR(SEARCH(";"&amp;D14&amp;";",";"&amp;INDEX('任务登记'!$H$2:$H$201,MATCH(B14,'任务登记'!$A$2:$A$201,0))&amp;";")),"材料不在可见清单",IF(COUNTIF('要件与标签'!$D$23:$D$29,INDEX('材料'!$H$2:$H$201,MATCH(D14,'材料'!$A$2:$A$201,0)))&lt;&gt;1,"材料阶段无效",IF(COUNTIF('要件与标签'!$D$23:$D$29,INDEX('任务登记'!$G$2:$G$201,MATCH(B14,'任务登记'!$A$2:$A$201,0)))&lt;&gt;1,"任务阶段无效",IF(MATCH(INDEX('材料'!$H$2:$H$201,MATCH(D14,'材料'!$A$2:$A$201,0)),'要件与标签'!$D$23:$D$29,0)&gt;MATCH(INDEX('任务登记'!$G$2:$G$201,MATCH(B14,'任务登记'!$A$2:$A$201,0)),'要件与标签'!$D$23:$D$29,0),"引用未来材料",IF(AND(G14="REVISE",L14=""),"修订缺新记录",IF(AND(G14="PENDING",Q14=""),"待核缺实质冲突",IF(AND(H14="不受影响",G14&lt;&gt;"KEEP"),"核对范围与处置","字段齐备")))))))))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10" t="str">
        <x:f>IF(COUNTA(A15:Q15)=0,"",IF(OR(A15="",B15="",C15="",D15="",E15="",F15="",G15="",H15="",I15="",J15="",K15="",M15="",N15="",O15="",P15=""),"缺必填",IF(COUNTIF($A$2:$A$201,A15)&gt;1,"ID重复",IF(COUNTIF('任务登记'!$A$2:$A$201,B15)&lt;&gt;1,"任务ID无效",IF(COUNTIF('材料'!$A$2:$A$201,D15)&lt;&gt;1,"材料ID无效",IF(INDEX('材料'!$B$2:$B$201,MATCH(D15,'材料'!$A$2:$A$201,0))&lt;&gt;INDEX('任务登记'!$B$2:$B$201,MATCH(B15,'任务登记'!$A$2:$A$201,0)),"材料与任务跨案",IF(ISERROR(SEARCH(";"&amp;D15&amp;";",";"&amp;INDEX('任务登记'!$H$2:$H$201,MATCH(B15,'任务登记'!$A$2:$A$201,0))&amp;";")),"材料不在可见清单",IF(COUNTIF('要件与标签'!$D$23:$D$29,INDEX('材料'!$H$2:$H$201,MATCH(D15,'材料'!$A$2:$A$201,0)))&lt;&gt;1,"材料阶段无效",IF(COUNTIF('要件与标签'!$D$23:$D$29,INDEX('任务登记'!$G$2:$G$201,MATCH(B15,'任务登记'!$A$2:$A$201,0)))&lt;&gt;1,"任务阶段无效",IF(MATCH(INDEX('材料'!$H$2:$H$201,MATCH(D15,'材料'!$A$2:$A$201,0)),'要件与标签'!$D$23:$D$29,0)&gt;MATCH(INDEX('任务登记'!$G$2:$G$201,MATCH(B15,'任务登记'!$A$2:$A$201,0)),'要件与标签'!$D$23:$D$29,0),"引用未来材料",IF(AND(G15="REVISE",L15=""),"修订缺新记录",IF(AND(G15="PENDING",Q15=""),"待核缺实质冲突",IF(AND(H15="不受影响",G15&lt;&gt;"KEEP"),"核对范围与处置","字段齐备")))))))))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10" t="str">
        <x:f>IF(COUNTA(A16:Q16)=0,"",IF(OR(A16="",B16="",C16="",D16="",E16="",F16="",G16="",H16="",I16="",J16="",K16="",M16="",N16="",O16="",P16=""),"缺必填",IF(COUNTIF($A$2:$A$201,A16)&gt;1,"ID重复",IF(COUNTIF('任务登记'!$A$2:$A$201,B16)&lt;&gt;1,"任务ID无效",IF(COUNTIF('材料'!$A$2:$A$201,D16)&lt;&gt;1,"材料ID无效",IF(INDEX('材料'!$B$2:$B$201,MATCH(D16,'材料'!$A$2:$A$201,0))&lt;&gt;INDEX('任务登记'!$B$2:$B$201,MATCH(B16,'任务登记'!$A$2:$A$201,0)),"材料与任务跨案",IF(ISERROR(SEARCH(";"&amp;D16&amp;";",";"&amp;INDEX('任务登记'!$H$2:$H$201,MATCH(B16,'任务登记'!$A$2:$A$201,0))&amp;";")),"材料不在可见清单",IF(COUNTIF('要件与标签'!$D$23:$D$29,INDEX('材料'!$H$2:$H$201,MATCH(D16,'材料'!$A$2:$A$201,0)))&lt;&gt;1,"材料阶段无效",IF(COUNTIF('要件与标签'!$D$23:$D$29,INDEX('任务登记'!$G$2:$G$201,MATCH(B16,'任务登记'!$A$2:$A$201,0)))&lt;&gt;1,"任务阶段无效",IF(MATCH(INDEX('材料'!$H$2:$H$201,MATCH(D16,'材料'!$A$2:$A$201,0)),'要件与标签'!$D$23:$D$29,0)&gt;MATCH(INDEX('任务登记'!$G$2:$G$201,MATCH(B16,'任务登记'!$A$2:$A$201,0)),'要件与标签'!$D$23:$D$29,0),"引用未来材料",IF(AND(G16="REVISE",L16=""),"修订缺新记录",IF(AND(G16="PENDING",Q16=""),"待核缺实质冲突",IF(AND(H16="不受影响",G16&lt;&gt;"KEEP"),"核对范围与处置","字段齐备")))))))))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10" t="str">
        <x:f>IF(COUNTA(A17:Q17)=0,"",IF(OR(A17="",B17="",C17="",D17="",E17="",F17="",G17="",H17="",I17="",J17="",K17="",M17="",N17="",O17="",P17=""),"缺必填",IF(COUNTIF($A$2:$A$201,A17)&gt;1,"ID重复",IF(COUNTIF('任务登记'!$A$2:$A$201,B17)&lt;&gt;1,"任务ID无效",IF(COUNTIF('材料'!$A$2:$A$201,D17)&lt;&gt;1,"材料ID无效",IF(INDEX('材料'!$B$2:$B$201,MATCH(D17,'材料'!$A$2:$A$201,0))&lt;&gt;INDEX('任务登记'!$B$2:$B$201,MATCH(B17,'任务登记'!$A$2:$A$201,0)),"材料与任务跨案",IF(ISERROR(SEARCH(";"&amp;D17&amp;";",";"&amp;INDEX('任务登记'!$H$2:$H$201,MATCH(B17,'任务登记'!$A$2:$A$201,0))&amp;";")),"材料不在可见清单",IF(COUNTIF('要件与标签'!$D$23:$D$29,INDEX('材料'!$H$2:$H$201,MATCH(D17,'材料'!$A$2:$A$201,0)))&lt;&gt;1,"材料阶段无效",IF(COUNTIF('要件与标签'!$D$23:$D$29,INDEX('任务登记'!$G$2:$G$201,MATCH(B17,'任务登记'!$A$2:$A$201,0)))&lt;&gt;1,"任务阶段无效",IF(MATCH(INDEX('材料'!$H$2:$H$201,MATCH(D17,'材料'!$A$2:$A$201,0)),'要件与标签'!$D$23:$D$29,0)&gt;MATCH(INDEX('任务登记'!$G$2:$G$201,MATCH(B17,'任务登记'!$A$2:$A$201,0)),'要件与标签'!$D$23:$D$29,0),"引用未来材料",IF(AND(G17="REVISE",L17=""),"修订缺新记录",IF(AND(G17="PENDING",Q17=""),"待核缺实质冲突",IF(AND(H17="不受影响",G17&lt;&gt;"KEEP"),"核对范围与处置","字段齐备")))))))))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10" t="str">
        <x:f>IF(COUNTA(A18:Q18)=0,"",IF(OR(A18="",B18="",C18="",D18="",E18="",F18="",G18="",H18="",I18="",J18="",K18="",M18="",N18="",O18="",P18=""),"缺必填",IF(COUNTIF($A$2:$A$201,A18)&gt;1,"ID重复",IF(COUNTIF('任务登记'!$A$2:$A$201,B18)&lt;&gt;1,"任务ID无效",IF(COUNTIF('材料'!$A$2:$A$201,D18)&lt;&gt;1,"材料ID无效",IF(INDEX('材料'!$B$2:$B$201,MATCH(D18,'材料'!$A$2:$A$201,0))&lt;&gt;INDEX('任务登记'!$B$2:$B$201,MATCH(B18,'任务登记'!$A$2:$A$201,0)),"材料与任务跨案",IF(ISERROR(SEARCH(";"&amp;D18&amp;";",";"&amp;INDEX('任务登记'!$H$2:$H$201,MATCH(B18,'任务登记'!$A$2:$A$201,0))&amp;";")),"材料不在可见清单",IF(COUNTIF('要件与标签'!$D$23:$D$29,INDEX('材料'!$H$2:$H$201,MATCH(D18,'材料'!$A$2:$A$201,0)))&lt;&gt;1,"材料阶段无效",IF(COUNTIF('要件与标签'!$D$23:$D$29,INDEX('任务登记'!$G$2:$G$201,MATCH(B18,'任务登记'!$A$2:$A$201,0)))&lt;&gt;1,"任务阶段无效",IF(MATCH(INDEX('材料'!$H$2:$H$201,MATCH(D18,'材料'!$A$2:$A$201,0)),'要件与标签'!$D$23:$D$29,0)&gt;MATCH(INDEX('任务登记'!$G$2:$G$201,MATCH(B18,'任务登记'!$A$2:$A$201,0)),'要件与标签'!$D$23:$D$29,0),"引用未来材料",IF(AND(G18="REVISE",L18=""),"修订缺新记录",IF(AND(G18="PENDING",Q18=""),"待核缺实质冲突",IF(AND(H18="不受影响",G18&lt;&gt;"KEEP"),"核对范围与处置","字段齐备")))))))))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10" t="str">
        <x:f>IF(COUNTA(A19:Q19)=0,"",IF(OR(A19="",B19="",C19="",D19="",E19="",F19="",G19="",H19="",I19="",J19="",K19="",M19="",N19="",O19="",P19=""),"缺必填",IF(COUNTIF($A$2:$A$201,A19)&gt;1,"ID重复",IF(COUNTIF('任务登记'!$A$2:$A$201,B19)&lt;&gt;1,"任务ID无效",IF(COUNTIF('材料'!$A$2:$A$201,D19)&lt;&gt;1,"材料ID无效",IF(INDEX('材料'!$B$2:$B$201,MATCH(D19,'材料'!$A$2:$A$201,0))&lt;&gt;INDEX('任务登记'!$B$2:$B$201,MATCH(B19,'任务登记'!$A$2:$A$201,0)),"材料与任务跨案",IF(ISERROR(SEARCH(";"&amp;D19&amp;";",";"&amp;INDEX('任务登记'!$H$2:$H$201,MATCH(B19,'任务登记'!$A$2:$A$201,0))&amp;";")),"材料不在可见清单",IF(COUNTIF('要件与标签'!$D$23:$D$29,INDEX('材料'!$H$2:$H$201,MATCH(D19,'材料'!$A$2:$A$201,0)))&lt;&gt;1,"材料阶段无效",IF(COUNTIF('要件与标签'!$D$23:$D$29,INDEX('任务登记'!$G$2:$G$201,MATCH(B19,'任务登记'!$A$2:$A$201,0)))&lt;&gt;1,"任务阶段无效",IF(MATCH(INDEX('材料'!$H$2:$H$201,MATCH(D19,'材料'!$A$2:$A$201,0)),'要件与标签'!$D$23:$D$29,0)&gt;MATCH(INDEX('任务登记'!$G$2:$G$201,MATCH(B19,'任务登记'!$A$2:$A$201,0)),'要件与标签'!$D$23:$D$29,0),"引用未来材料",IF(AND(G19="REVISE",L19=""),"修订缺新记录",IF(AND(G19="PENDING",Q19=""),"待核缺实质冲突",IF(AND(H19="不受影响",G19&lt;&gt;"KEEP"),"核对范围与处置","字段齐备")))))))))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10" t="str">
        <x:f>IF(COUNTA(A20:Q20)=0,"",IF(OR(A20="",B20="",C20="",D20="",E20="",F20="",G20="",H20="",I20="",J20="",K20="",M20="",N20="",O20="",P20=""),"缺必填",IF(COUNTIF($A$2:$A$201,A20)&gt;1,"ID重复",IF(COUNTIF('任务登记'!$A$2:$A$201,B20)&lt;&gt;1,"任务ID无效",IF(COUNTIF('材料'!$A$2:$A$201,D20)&lt;&gt;1,"材料ID无效",IF(INDEX('材料'!$B$2:$B$201,MATCH(D20,'材料'!$A$2:$A$201,0))&lt;&gt;INDEX('任务登记'!$B$2:$B$201,MATCH(B20,'任务登记'!$A$2:$A$201,0)),"材料与任务跨案",IF(ISERROR(SEARCH(";"&amp;D20&amp;";",";"&amp;INDEX('任务登记'!$H$2:$H$201,MATCH(B20,'任务登记'!$A$2:$A$201,0))&amp;";")),"材料不在可见清单",IF(COUNTIF('要件与标签'!$D$23:$D$29,INDEX('材料'!$H$2:$H$201,MATCH(D20,'材料'!$A$2:$A$201,0)))&lt;&gt;1,"材料阶段无效",IF(COUNTIF('要件与标签'!$D$23:$D$29,INDEX('任务登记'!$G$2:$G$201,MATCH(B20,'任务登记'!$A$2:$A$201,0)))&lt;&gt;1,"任务阶段无效",IF(MATCH(INDEX('材料'!$H$2:$H$201,MATCH(D20,'材料'!$A$2:$A$201,0)),'要件与标签'!$D$23:$D$29,0)&gt;MATCH(INDEX('任务登记'!$G$2:$G$201,MATCH(B20,'任务登记'!$A$2:$A$201,0)),'要件与标签'!$D$23:$D$29,0),"引用未来材料",IF(AND(G20="REVISE",L20=""),"修订缺新记录",IF(AND(G20="PENDING",Q20=""),"待核缺实质冲突",IF(AND(H20="不受影响",G20&lt;&gt;"KEEP"),"核对范围与处置","字段齐备")))))))))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10" t="str">
        <x:f>IF(COUNTA(A21:Q21)=0,"",IF(OR(A21="",B21="",C21="",D21="",E21="",F21="",G21="",H21="",I21="",J21="",K21="",M21="",N21="",O21="",P21=""),"缺必填",IF(COUNTIF($A$2:$A$201,A21)&gt;1,"ID重复",IF(COUNTIF('任务登记'!$A$2:$A$201,B21)&lt;&gt;1,"任务ID无效",IF(COUNTIF('材料'!$A$2:$A$201,D21)&lt;&gt;1,"材料ID无效",IF(INDEX('材料'!$B$2:$B$201,MATCH(D21,'材料'!$A$2:$A$201,0))&lt;&gt;INDEX('任务登记'!$B$2:$B$201,MATCH(B21,'任务登记'!$A$2:$A$201,0)),"材料与任务跨案",IF(ISERROR(SEARCH(";"&amp;D21&amp;";",";"&amp;INDEX('任务登记'!$H$2:$H$201,MATCH(B21,'任务登记'!$A$2:$A$201,0))&amp;";")),"材料不在可见清单",IF(COUNTIF('要件与标签'!$D$23:$D$29,INDEX('材料'!$H$2:$H$201,MATCH(D21,'材料'!$A$2:$A$201,0)))&lt;&gt;1,"材料阶段无效",IF(COUNTIF('要件与标签'!$D$23:$D$29,INDEX('任务登记'!$G$2:$G$201,MATCH(B21,'任务登记'!$A$2:$A$201,0)))&lt;&gt;1,"任务阶段无效",IF(MATCH(INDEX('材料'!$H$2:$H$201,MATCH(D21,'材料'!$A$2:$A$201,0)),'要件与标签'!$D$23:$D$29,0)&gt;MATCH(INDEX('任务登记'!$G$2:$G$201,MATCH(B21,'任务登记'!$A$2:$A$201,0)),'要件与标签'!$D$23:$D$29,0),"引用未来材料",IF(AND(G21="REVISE",L21=""),"修订缺新记录",IF(AND(G21="PENDING",Q21=""),"待核缺实质冲突",IF(AND(H21="不受影响",G21&lt;&gt;"KEEP"),"核对范围与处置","字段齐备")))))))))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10" t="str">
        <x:f>IF(COUNTA(A22:Q22)=0,"",IF(OR(A22="",B22="",C22="",D22="",E22="",F22="",G22="",H22="",I22="",J22="",K22="",M22="",N22="",O22="",P22=""),"缺必填",IF(COUNTIF($A$2:$A$201,A22)&gt;1,"ID重复",IF(COUNTIF('任务登记'!$A$2:$A$201,B22)&lt;&gt;1,"任务ID无效",IF(COUNTIF('材料'!$A$2:$A$201,D22)&lt;&gt;1,"材料ID无效",IF(INDEX('材料'!$B$2:$B$201,MATCH(D22,'材料'!$A$2:$A$201,0))&lt;&gt;INDEX('任务登记'!$B$2:$B$201,MATCH(B22,'任务登记'!$A$2:$A$201,0)),"材料与任务跨案",IF(ISERROR(SEARCH(";"&amp;D22&amp;";",";"&amp;INDEX('任务登记'!$H$2:$H$201,MATCH(B22,'任务登记'!$A$2:$A$201,0))&amp;";")),"材料不在可见清单",IF(COUNTIF('要件与标签'!$D$23:$D$29,INDEX('材料'!$H$2:$H$201,MATCH(D22,'材料'!$A$2:$A$201,0)))&lt;&gt;1,"材料阶段无效",IF(COUNTIF('要件与标签'!$D$23:$D$29,INDEX('任务登记'!$G$2:$G$201,MATCH(B22,'任务登记'!$A$2:$A$201,0)))&lt;&gt;1,"任务阶段无效",IF(MATCH(INDEX('材料'!$H$2:$H$201,MATCH(D22,'材料'!$A$2:$A$201,0)),'要件与标签'!$D$23:$D$29,0)&gt;MATCH(INDEX('任务登记'!$G$2:$G$201,MATCH(B22,'任务登记'!$A$2:$A$201,0)),'要件与标签'!$D$23:$D$29,0),"引用未来材料",IF(AND(G22="REVISE",L22=""),"修订缺新记录",IF(AND(G22="PENDING",Q22=""),"待核缺实质冲突",IF(AND(H22="不受影响",G22&lt;&gt;"KEEP"),"核对范围与处置","字段齐备")))))))))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10" t="str">
        <x:f>IF(COUNTA(A23:Q23)=0,"",IF(OR(A23="",B23="",C23="",D23="",E23="",F23="",G23="",H23="",I23="",J23="",K23="",M23="",N23="",O23="",P23=""),"缺必填",IF(COUNTIF($A$2:$A$201,A23)&gt;1,"ID重复",IF(COUNTIF('任务登记'!$A$2:$A$201,B23)&lt;&gt;1,"任务ID无效",IF(COUNTIF('材料'!$A$2:$A$201,D23)&lt;&gt;1,"材料ID无效",IF(INDEX('材料'!$B$2:$B$201,MATCH(D23,'材料'!$A$2:$A$201,0))&lt;&gt;INDEX('任务登记'!$B$2:$B$201,MATCH(B23,'任务登记'!$A$2:$A$201,0)),"材料与任务跨案",IF(ISERROR(SEARCH(";"&amp;D23&amp;";",";"&amp;INDEX('任务登记'!$H$2:$H$201,MATCH(B23,'任务登记'!$A$2:$A$201,0))&amp;";")),"材料不在可见清单",IF(COUNTIF('要件与标签'!$D$23:$D$29,INDEX('材料'!$H$2:$H$201,MATCH(D23,'材料'!$A$2:$A$201,0)))&lt;&gt;1,"材料阶段无效",IF(COUNTIF('要件与标签'!$D$23:$D$29,INDEX('任务登记'!$G$2:$G$201,MATCH(B23,'任务登记'!$A$2:$A$201,0)))&lt;&gt;1,"任务阶段无效",IF(MATCH(INDEX('材料'!$H$2:$H$201,MATCH(D23,'材料'!$A$2:$A$201,0)),'要件与标签'!$D$23:$D$29,0)&gt;MATCH(INDEX('任务登记'!$G$2:$G$201,MATCH(B23,'任务登记'!$A$2:$A$201,0)),'要件与标签'!$D$23:$D$29,0),"引用未来材料",IF(AND(G23="REVISE",L23=""),"修订缺新记录",IF(AND(G23="PENDING",Q23=""),"待核缺实质冲突",IF(AND(H23="不受影响",G23&lt;&gt;"KEEP"),"核对范围与处置","字段齐备")))))))))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10" t="str">
        <x:f>IF(COUNTA(A24:Q24)=0,"",IF(OR(A24="",B24="",C24="",D24="",E24="",F24="",G24="",H24="",I24="",J24="",K24="",M24="",N24="",O24="",P24=""),"缺必填",IF(COUNTIF($A$2:$A$201,A24)&gt;1,"ID重复",IF(COUNTIF('任务登记'!$A$2:$A$201,B24)&lt;&gt;1,"任务ID无效",IF(COUNTIF('材料'!$A$2:$A$201,D24)&lt;&gt;1,"材料ID无效",IF(INDEX('材料'!$B$2:$B$201,MATCH(D24,'材料'!$A$2:$A$201,0))&lt;&gt;INDEX('任务登记'!$B$2:$B$201,MATCH(B24,'任务登记'!$A$2:$A$201,0)),"材料与任务跨案",IF(ISERROR(SEARCH(";"&amp;D24&amp;";",";"&amp;INDEX('任务登记'!$H$2:$H$201,MATCH(B24,'任务登记'!$A$2:$A$201,0))&amp;";")),"材料不在可见清单",IF(COUNTIF('要件与标签'!$D$23:$D$29,INDEX('材料'!$H$2:$H$201,MATCH(D24,'材料'!$A$2:$A$201,0)))&lt;&gt;1,"材料阶段无效",IF(COUNTIF('要件与标签'!$D$23:$D$29,INDEX('任务登记'!$G$2:$G$201,MATCH(B24,'任务登记'!$A$2:$A$201,0)))&lt;&gt;1,"任务阶段无效",IF(MATCH(INDEX('材料'!$H$2:$H$201,MATCH(D24,'材料'!$A$2:$A$201,0)),'要件与标签'!$D$23:$D$29,0)&gt;MATCH(INDEX('任务登记'!$G$2:$G$201,MATCH(B24,'任务登记'!$A$2:$A$201,0)),'要件与标签'!$D$23:$D$29,0),"引用未来材料",IF(AND(G24="REVISE",L24=""),"修订缺新记录",IF(AND(G24="PENDING",Q24=""),"待核缺实质冲突",IF(AND(H24="不受影响",G24&lt;&gt;"KEEP"),"核对范围与处置","字段齐备")))))))))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10" t="str">
        <x:f>IF(COUNTA(A25:Q25)=0,"",IF(OR(A25="",B25="",C25="",D25="",E25="",F25="",G25="",H25="",I25="",J25="",K25="",M25="",N25="",O25="",P25=""),"缺必填",IF(COUNTIF($A$2:$A$201,A25)&gt;1,"ID重复",IF(COUNTIF('任务登记'!$A$2:$A$201,B25)&lt;&gt;1,"任务ID无效",IF(COUNTIF('材料'!$A$2:$A$201,D25)&lt;&gt;1,"材料ID无效",IF(INDEX('材料'!$B$2:$B$201,MATCH(D25,'材料'!$A$2:$A$201,0))&lt;&gt;INDEX('任务登记'!$B$2:$B$201,MATCH(B25,'任务登记'!$A$2:$A$201,0)),"材料与任务跨案",IF(ISERROR(SEARCH(";"&amp;D25&amp;";",";"&amp;INDEX('任务登记'!$H$2:$H$201,MATCH(B25,'任务登记'!$A$2:$A$201,0))&amp;";")),"材料不在可见清单",IF(COUNTIF('要件与标签'!$D$23:$D$29,INDEX('材料'!$H$2:$H$201,MATCH(D25,'材料'!$A$2:$A$201,0)))&lt;&gt;1,"材料阶段无效",IF(COUNTIF('要件与标签'!$D$23:$D$29,INDEX('任务登记'!$G$2:$G$201,MATCH(B25,'任务登记'!$A$2:$A$201,0)))&lt;&gt;1,"任务阶段无效",IF(MATCH(INDEX('材料'!$H$2:$H$201,MATCH(D25,'材料'!$A$2:$A$201,0)),'要件与标签'!$D$23:$D$29,0)&gt;MATCH(INDEX('任务登记'!$G$2:$G$201,MATCH(B25,'任务登记'!$A$2:$A$201,0)),'要件与标签'!$D$23:$D$29,0),"引用未来材料",IF(AND(G25="REVISE",L25=""),"修订缺新记录",IF(AND(G25="PENDING",Q25=""),"待核缺实质冲突",IF(AND(H25="不受影响",G25&lt;&gt;"KEEP"),"核对范围与处置","字段齐备")))))))))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10" t="str">
        <x:f>IF(COUNTA(A26:Q26)=0,"",IF(OR(A26="",B26="",C26="",D26="",E26="",F26="",G26="",H26="",I26="",J26="",K26="",M26="",N26="",O26="",P26=""),"缺必填",IF(COUNTIF($A$2:$A$201,A26)&gt;1,"ID重复",IF(COUNTIF('任务登记'!$A$2:$A$201,B26)&lt;&gt;1,"任务ID无效",IF(COUNTIF('材料'!$A$2:$A$201,D26)&lt;&gt;1,"材料ID无效",IF(INDEX('材料'!$B$2:$B$201,MATCH(D26,'材料'!$A$2:$A$201,0))&lt;&gt;INDEX('任务登记'!$B$2:$B$201,MATCH(B26,'任务登记'!$A$2:$A$201,0)),"材料与任务跨案",IF(ISERROR(SEARCH(";"&amp;D26&amp;";",";"&amp;INDEX('任务登记'!$H$2:$H$201,MATCH(B26,'任务登记'!$A$2:$A$201,0))&amp;";")),"材料不在可见清单",IF(COUNTIF('要件与标签'!$D$23:$D$29,INDEX('材料'!$H$2:$H$201,MATCH(D26,'材料'!$A$2:$A$201,0)))&lt;&gt;1,"材料阶段无效",IF(COUNTIF('要件与标签'!$D$23:$D$29,INDEX('任务登记'!$G$2:$G$201,MATCH(B26,'任务登记'!$A$2:$A$201,0)))&lt;&gt;1,"任务阶段无效",IF(MATCH(INDEX('材料'!$H$2:$H$201,MATCH(D26,'材料'!$A$2:$A$201,0)),'要件与标签'!$D$23:$D$29,0)&gt;MATCH(INDEX('任务登记'!$G$2:$G$201,MATCH(B26,'任务登记'!$A$2:$A$201,0)),'要件与标签'!$D$23:$D$29,0),"引用未来材料",IF(AND(G26="REVISE",L26=""),"修订缺新记录",IF(AND(G26="PENDING",Q26=""),"待核缺实质冲突",IF(AND(H26="不受影响",G26&lt;&gt;"KEEP"),"核对范围与处置","字段齐备")))))))))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10" t="str">
        <x:f>IF(COUNTA(A27:Q27)=0,"",IF(OR(A27="",B27="",C27="",D27="",E27="",F27="",G27="",H27="",I27="",J27="",K27="",M27="",N27="",O27="",P27=""),"缺必填",IF(COUNTIF($A$2:$A$201,A27)&gt;1,"ID重复",IF(COUNTIF('任务登记'!$A$2:$A$201,B27)&lt;&gt;1,"任务ID无效",IF(COUNTIF('材料'!$A$2:$A$201,D27)&lt;&gt;1,"材料ID无效",IF(INDEX('材料'!$B$2:$B$201,MATCH(D27,'材料'!$A$2:$A$201,0))&lt;&gt;INDEX('任务登记'!$B$2:$B$201,MATCH(B27,'任务登记'!$A$2:$A$201,0)),"材料与任务跨案",IF(ISERROR(SEARCH(";"&amp;D27&amp;";",";"&amp;INDEX('任务登记'!$H$2:$H$201,MATCH(B27,'任务登记'!$A$2:$A$201,0))&amp;";")),"材料不在可见清单",IF(COUNTIF('要件与标签'!$D$23:$D$29,INDEX('材料'!$H$2:$H$201,MATCH(D27,'材料'!$A$2:$A$201,0)))&lt;&gt;1,"材料阶段无效",IF(COUNTIF('要件与标签'!$D$23:$D$29,INDEX('任务登记'!$G$2:$G$201,MATCH(B27,'任务登记'!$A$2:$A$201,0)))&lt;&gt;1,"任务阶段无效",IF(MATCH(INDEX('材料'!$H$2:$H$201,MATCH(D27,'材料'!$A$2:$A$201,0)),'要件与标签'!$D$23:$D$29,0)&gt;MATCH(INDEX('任务登记'!$G$2:$G$201,MATCH(B27,'任务登记'!$A$2:$A$201,0)),'要件与标签'!$D$23:$D$29,0),"引用未来材料",IF(AND(G27="REVISE",L27=""),"修订缺新记录",IF(AND(G27="PENDING",Q27=""),"待核缺实质冲突",IF(AND(H27="不受影响",G27&lt;&gt;"KEEP"),"核对范围与处置","字段齐备")))))))))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10" t="str">
        <x:f>IF(COUNTA(A28:Q28)=0,"",IF(OR(A28="",B28="",C28="",D28="",E28="",F28="",G28="",H28="",I28="",J28="",K28="",M28="",N28="",O28="",P28=""),"缺必填",IF(COUNTIF($A$2:$A$201,A28)&gt;1,"ID重复",IF(COUNTIF('任务登记'!$A$2:$A$201,B28)&lt;&gt;1,"任务ID无效",IF(COUNTIF('材料'!$A$2:$A$201,D28)&lt;&gt;1,"材料ID无效",IF(INDEX('材料'!$B$2:$B$201,MATCH(D28,'材料'!$A$2:$A$201,0))&lt;&gt;INDEX('任务登记'!$B$2:$B$201,MATCH(B28,'任务登记'!$A$2:$A$201,0)),"材料与任务跨案",IF(ISERROR(SEARCH(";"&amp;D28&amp;";",";"&amp;INDEX('任务登记'!$H$2:$H$201,MATCH(B28,'任务登记'!$A$2:$A$201,0))&amp;";")),"材料不在可见清单",IF(COUNTIF('要件与标签'!$D$23:$D$29,INDEX('材料'!$H$2:$H$201,MATCH(D28,'材料'!$A$2:$A$201,0)))&lt;&gt;1,"材料阶段无效",IF(COUNTIF('要件与标签'!$D$23:$D$29,INDEX('任务登记'!$G$2:$G$201,MATCH(B28,'任务登记'!$A$2:$A$201,0)))&lt;&gt;1,"任务阶段无效",IF(MATCH(INDEX('材料'!$H$2:$H$201,MATCH(D28,'材料'!$A$2:$A$201,0)),'要件与标签'!$D$23:$D$29,0)&gt;MATCH(INDEX('任务登记'!$G$2:$G$201,MATCH(B28,'任务登记'!$A$2:$A$201,0)),'要件与标签'!$D$23:$D$29,0),"引用未来材料",IF(AND(G28="REVISE",L28=""),"修订缺新记录",IF(AND(G28="PENDING",Q28=""),"待核缺实质冲突",IF(AND(H28="不受影响",G28&lt;&gt;"KEEP"),"核对范围与处置","字段齐备")))))))))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10" t="str">
        <x:f>IF(COUNTA(A29:Q29)=0,"",IF(OR(A29="",B29="",C29="",D29="",E29="",F29="",G29="",H29="",I29="",J29="",K29="",M29="",N29="",O29="",P29=""),"缺必填",IF(COUNTIF($A$2:$A$201,A29)&gt;1,"ID重复",IF(COUNTIF('任务登记'!$A$2:$A$201,B29)&lt;&gt;1,"任务ID无效",IF(COUNTIF('材料'!$A$2:$A$201,D29)&lt;&gt;1,"材料ID无效",IF(INDEX('材料'!$B$2:$B$201,MATCH(D29,'材料'!$A$2:$A$201,0))&lt;&gt;INDEX('任务登记'!$B$2:$B$201,MATCH(B29,'任务登记'!$A$2:$A$201,0)),"材料与任务跨案",IF(ISERROR(SEARCH(";"&amp;D29&amp;";",";"&amp;INDEX('任务登记'!$H$2:$H$201,MATCH(B29,'任务登记'!$A$2:$A$201,0))&amp;";")),"材料不在可见清单",IF(COUNTIF('要件与标签'!$D$23:$D$29,INDEX('材料'!$H$2:$H$201,MATCH(D29,'材料'!$A$2:$A$201,0)))&lt;&gt;1,"材料阶段无效",IF(COUNTIF('要件与标签'!$D$23:$D$29,INDEX('任务登记'!$G$2:$G$201,MATCH(B29,'任务登记'!$A$2:$A$201,0)))&lt;&gt;1,"任务阶段无效",IF(MATCH(INDEX('材料'!$H$2:$H$201,MATCH(D29,'材料'!$A$2:$A$201,0)),'要件与标签'!$D$23:$D$29,0)&gt;MATCH(INDEX('任务登记'!$G$2:$G$201,MATCH(B29,'任务登记'!$A$2:$A$201,0)),'要件与标签'!$D$23:$D$29,0),"引用未来材料",IF(AND(G29="REVISE",L29=""),"修订缺新记录",IF(AND(G29="PENDING",Q29=""),"待核缺实质冲突",IF(AND(H29="不受影响",G29&lt;&gt;"KEEP"),"核对范围与处置","字段齐备")))))))))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10" t="str">
        <x:f>IF(COUNTA(A30:Q30)=0,"",IF(OR(A30="",B30="",C30="",D30="",E30="",F30="",G30="",H30="",I30="",J30="",K30="",M30="",N30="",O30="",P30=""),"缺必填",IF(COUNTIF($A$2:$A$201,A30)&gt;1,"ID重复",IF(COUNTIF('任务登记'!$A$2:$A$201,B30)&lt;&gt;1,"任务ID无效",IF(COUNTIF('材料'!$A$2:$A$201,D30)&lt;&gt;1,"材料ID无效",IF(INDEX('材料'!$B$2:$B$201,MATCH(D30,'材料'!$A$2:$A$201,0))&lt;&gt;INDEX('任务登记'!$B$2:$B$201,MATCH(B30,'任务登记'!$A$2:$A$201,0)),"材料与任务跨案",IF(ISERROR(SEARCH(";"&amp;D30&amp;";",";"&amp;INDEX('任务登记'!$H$2:$H$201,MATCH(B30,'任务登记'!$A$2:$A$201,0))&amp;";")),"材料不在可见清单",IF(COUNTIF('要件与标签'!$D$23:$D$29,INDEX('材料'!$H$2:$H$201,MATCH(D30,'材料'!$A$2:$A$201,0)))&lt;&gt;1,"材料阶段无效",IF(COUNTIF('要件与标签'!$D$23:$D$29,INDEX('任务登记'!$G$2:$G$201,MATCH(B30,'任务登记'!$A$2:$A$201,0)))&lt;&gt;1,"任务阶段无效",IF(MATCH(INDEX('材料'!$H$2:$H$201,MATCH(D30,'材料'!$A$2:$A$201,0)),'要件与标签'!$D$23:$D$29,0)&gt;MATCH(INDEX('任务登记'!$G$2:$G$201,MATCH(B30,'任务登记'!$A$2:$A$201,0)),'要件与标签'!$D$23:$D$29,0),"引用未来材料",IF(AND(G30="REVISE",L30=""),"修订缺新记录",IF(AND(G30="PENDING",Q30=""),"待核缺实质冲突",IF(AND(H30="不受影响",G30&lt;&gt;"KEEP"),"核对范围与处置","字段齐备")))))))))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10" t="str">
        <x:f>IF(COUNTA(A31:Q31)=0,"",IF(OR(A31="",B31="",C31="",D31="",E31="",F31="",G31="",H31="",I31="",J31="",K31="",M31="",N31="",O31="",P31=""),"缺必填",IF(COUNTIF($A$2:$A$201,A31)&gt;1,"ID重复",IF(COUNTIF('任务登记'!$A$2:$A$201,B31)&lt;&gt;1,"任务ID无效",IF(COUNTIF('材料'!$A$2:$A$201,D31)&lt;&gt;1,"材料ID无效",IF(INDEX('材料'!$B$2:$B$201,MATCH(D31,'材料'!$A$2:$A$201,0))&lt;&gt;INDEX('任务登记'!$B$2:$B$201,MATCH(B31,'任务登记'!$A$2:$A$201,0)),"材料与任务跨案",IF(ISERROR(SEARCH(";"&amp;D31&amp;";",";"&amp;INDEX('任务登记'!$H$2:$H$201,MATCH(B31,'任务登记'!$A$2:$A$201,0))&amp;";")),"材料不在可见清单",IF(COUNTIF('要件与标签'!$D$23:$D$29,INDEX('材料'!$H$2:$H$201,MATCH(D31,'材料'!$A$2:$A$201,0)))&lt;&gt;1,"材料阶段无效",IF(COUNTIF('要件与标签'!$D$23:$D$29,INDEX('任务登记'!$G$2:$G$201,MATCH(B31,'任务登记'!$A$2:$A$201,0)))&lt;&gt;1,"任务阶段无效",IF(MATCH(INDEX('材料'!$H$2:$H$201,MATCH(D31,'材料'!$A$2:$A$201,0)),'要件与标签'!$D$23:$D$29,0)&gt;MATCH(INDEX('任务登记'!$G$2:$G$201,MATCH(B31,'任务登记'!$A$2:$A$201,0)),'要件与标签'!$D$23:$D$29,0),"引用未来材料",IF(AND(G31="REVISE",L31=""),"修订缺新记录",IF(AND(G31="PENDING",Q31=""),"待核缺实质冲突",IF(AND(H31="不受影响",G31&lt;&gt;"KEEP"),"核对范围与处置","字段齐备")))))))))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10" t="str">
        <x:f>IF(COUNTA(A32:Q32)=0,"",IF(OR(A32="",B32="",C32="",D32="",E32="",F32="",G32="",H32="",I32="",J32="",K32="",M32="",N32="",O32="",P32=""),"缺必填",IF(COUNTIF($A$2:$A$201,A32)&gt;1,"ID重复",IF(COUNTIF('任务登记'!$A$2:$A$201,B32)&lt;&gt;1,"任务ID无效",IF(COUNTIF('材料'!$A$2:$A$201,D32)&lt;&gt;1,"材料ID无效",IF(INDEX('材料'!$B$2:$B$201,MATCH(D32,'材料'!$A$2:$A$201,0))&lt;&gt;INDEX('任务登记'!$B$2:$B$201,MATCH(B32,'任务登记'!$A$2:$A$201,0)),"材料与任务跨案",IF(ISERROR(SEARCH(";"&amp;D32&amp;";",";"&amp;INDEX('任务登记'!$H$2:$H$201,MATCH(B32,'任务登记'!$A$2:$A$201,0))&amp;";")),"材料不在可见清单",IF(COUNTIF('要件与标签'!$D$23:$D$29,INDEX('材料'!$H$2:$H$201,MATCH(D32,'材料'!$A$2:$A$201,0)))&lt;&gt;1,"材料阶段无效",IF(COUNTIF('要件与标签'!$D$23:$D$29,INDEX('任务登记'!$G$2:$G$201,MATCH(B32,'任务登记'!$A$2:$A$201,0)))&lt;&gt;1,"任务阶段无效",IF(MATCH(INDEX('材料'!$H$2:$H$201,MATCH(D32,'材料'!$A$2:$A$201,0)),'要件与标签'!$D$23:$D$29,0)&gt;MATCH(INDEX('任务登记'!$G$2:$G$201,MATCH(B32,'任务登记'!$A$2:$A$201,0)),'要件与标签'!$D$23:$D$29,0),"引用未来材料",IF(AND(G32="REVISE",L32=""),"修订缺新记录",IF(AND(G32="PENDING",Q32=""),"待核缺实质冲突",IF(AND(H32="不受影响",G32&lt;&gt;"KEEP"),"核对范围与处置","字段齐备")))))))))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10" t="str">
        <x:f>IF(COUNTA(A33:Q33)=0,"",IF(OR(A33="",B33="",C33="",D33="",E33="",F33="",G33="",H33="",I33="",J33="",K33="",M33="",N33="",O33="",P33=""),"缺必填",IF(COUNTIF($A$2:$A$201,A33)&gt;1,"ID重复",IF(COUNTIF('任务登记'!$A$2:$A$201,B33)&lt;&gt;1,"任务ID无效",IF(COUNTIF('材料'!$A$2:$A$201,D33)&lt;&gt;1,"材料ID无效",IF(INDEX('材料'!$B$2:$B$201,MATCH(D33,'材料'!$A$2:$A$201,0))&lt;&gt;INDEX('任务登记'!$B$2:$B$201,MATCH(B33,'任务登记'!$A$2:$A$201,0)),"材料与任务跨案",IF(ISERROR(SEARCH(";"&amp;D33&amp;";",";"&amp;INDEX('任务登记'!$H$2:$H$201,MATCH(B33,'任务登记'!$A$2:$A$201,0))&amp;";")),"材料不在可见清单",IF(COUNTIF('要件与标签'!$D$23:$D$29,INDEX('材料'!$H$2:$H$201,MATCH(D33,'材料'!$A$2:$A$201,0)))&lt;&gt;1,"材料阶段无效",IF(COUNTIF('要件与标签'!$D$23:$D$29,INDEX('任务登记'!$G$2:$G$201,MATCH(B33,'任务登记'!$A$2:$A$201,0)))&lt;&gt;1,"任务阶段无效",IF(MATCH(INDEX('材料'!$H$2:$H$201,MATCH(D33,'材料'!$A$2:$A$201,0)),'要件与标签'!$D$23:$D$29,0)&gt;MATCH(INDEX('任务登记'!$G$2:$G$201,MATCH(B33,'任务登记'!$A$2:$A$201,0)),'要件与标签'!$D$23:$D$29,0),"引用未来材料",IF(AND(G33="REVISE",L33=""),"修订缺新记录",IF(AND(G33="PENDING",Q33=""),"待核缺实质冲突",IF(AND(H33="不受影响",G33&lt;&gt;"KEEP"),"核对范围与处置","字段齐备")))))))))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10" t="str">
        <x:f>IF(COUNTA(A34:Q34)=0,"",IF(OR(A34="",B34="",C34="",D34="",E34="",F34="",G34="",H34="",I34="",J34="",K34="",M34="",N34="",O34="",P34=""),"缺必填",IF(COUNTIF($A$2:$A$201,A34)&gt;1,"ID重复",IF(COUNTIF('任务登记'!$A$2:$A$201,B34)&lt;&gt;1,"任务ID无效",IF(COUNTIF('材料'!$A$2:$A$201,D34)&lt;&gt;1,"材料ID无效",IF(INDEX('材料'!$B$2:$B$201,MATCH(D34,'材料'!$A$2:$A$201,0))&lt;&gt;INDEX('任务登记'!$B$2:$B$201,MATCH(B34,'任务登记'!$A$2:$A$201,0)),"材料与任务跨案",IF(ISERROR(SEARCH(";"&amp;D34&amp;";",";"&amp;INDEX('任务登记'!$H$2:$H$201,MATCH(B34,'任务登记'!$A$2:$A$201,0))&amp;";")),"材料不在可见清单",IF(COUNTIF('要件与标签'!$D$23:$D$29,INDEX('材料'!$H$2:$H$201,MATCH(D34,'材料'!$A$2:$A$201,0)))&lt;&gt;1,"材料阶段无效",IF(COUNTIF('要件与标签'!$D$23:$D$29,INDEX('任务登记'!$G$2:$G$201,MATCH(B34,'任务登记'!$A$2:$A$201,0)))&lt;&gt;1,"任务阶段无效",IF(MATCH(INDEX('材料'!$H$2:$H$201,MATCH(D34,'材料'!$A$2:$A$201,0)),'要件与标签'!$D$23:$D$29,0)&gt;MATCH(INDEX('任务登记'!$G$2:$G$201,MATCH(B34,'任务登记'!$A$2:$A$201,0)),'要件与标签'!$D$23:$D$29,0),"引用未来材料",IF(AND(G34="REVISE",L34=""),"修订缺新记录",IF(AND(G34="PENDING",Q34=""),"待核缺实质冲突",IF(AND(H34="不受影响",G34&lt;&gt;"KEEP"),"核对范围与处置","字段齐备")))))))))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10" t="str">
        <x:f>IF(COUNTA(A35:Q35)=0,"",IF(OR(A35="",B35="",C35="",D35="",E35="",F35="",G35="",H35="",I35="",J35="",K35="",M35="",N35="",O35="",P35=""),"缺必填",IF(COUNTIF($A$2:$A$201,A35)&gt;1,"ID重复",IF(COUNTIF('任务登记'!$A$2:$A$201,B35)&lt;&gt;1,"任务ID无效",IF(COUNTIF('材料'!$A$2:$A$201,D35)&lt;&gt;1,"材料ID无效",IF(INDEX('材料'!$B$2:$B$201,MATCH(D35,'材料'!$A$2:$A$201,0))&lt;&gt;INDEX('任务登记'!$B$2:$B$201,MATCH(B35,'任务登记'!$A$2:$A$201,0)),"材料与任务跨案",IF(ISERROR(SEARCH(";"&amp;D35&amp;";",";"&amp;INDEX('任务登记'!$H$2:$H$201,MATCH(B35,'任务登记'!$A$2:$A$201,0))&amp;";")),"材料不在可见清单",IF(COUNTIF('要件与标签'!$D$23:$D$29,INDEX('材料'!$H$2:$H$201,MATCH(D35,'材料'!$A$2:$A$201,0)))&lt;&gt;1,"材料阶段无效",IF(COUNTIF('要件与标签'!$D$23:$D$29,INDEX('任务登记'!$G$2:$G$201,MATCH(B35,'任务登记'!$A$2:$A$201,0)))&lt;&gt;1,"任务阶段无效",IF(MATCH(INDEX('材料'!$H$2:$H$201,MATCH(D35,'材料'!$A$2:$A$201,0)),'要件与标签'!$D$23:$D$29,0)&gt;MATCH(INDEX('任务登记'!$G$2:$G$201,MATCH(B35,'任务登记'!$A$2:$A$201,0)),'要件与标签'!$D$23:$D$29,0),"引用未来材料",IF(AND(G35="REVISE",L35=""),"修订缺新记录",IF(AND(G35="PENDING",Q35=""),"待核缺实质冲突",IF(AND(H35="不受影响",G35&lt;&gt;"KEEP"),"核对范围与处置","字段齐备")))))))))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10" t="str">
        <x:f>IF(COUNTA(A36:Q36)=0,"",IF(OR(A36="",B36="",C36="",D36="",E36="",F36="",G36="",H36="",I36="",J36="",K36="",M36="",N36="",O36="",P36=""),"缺必填",IF(COUNTIF($A$2:$A$201,A36)&gt;1,"ID重复",IF(COUNTIF('任务登记'!$A$2:$A$201,B36)&lt;&gt;1,"任务ID无效",IF(COUNTIF('材料'!$A$2:$A$201,D36)&lt;&gt;1,"材料ID无效",IF(INDEX('材料'!$B$2:$B$201,MATCH(D36,'材料'!$A$2:$A$201,0))&lt;&gt;INDEX('任务登记'!$B$2:$B$201,MATCH(B36,'任务登记'!$A$2:$A$201,0)),"材料与任务跨案",IF(ISERROR(SEARCH(";"&amp;D36&amp;";",";"&amp;INDEX('任务登记'!$H$2:$H$201,MATCH(B36,'任务登记'!$A$2:$A$201,0))&amp;";")),"材料不在可见清单",IF(COUNTIF('要件与标签'!$D$23:$D$29,INDEX('材料'!$H$2:$H$201,MATCH(D36,'材料'!$A$2:$A$201,0)))&lt;&gt;1,"材料阶段无效",IF(COUNTIF('要件与标签'!$D$23:$D$29,INDEX('任务登记'!$G$2:$G$201,MATCH(B36,'任务登记'!$A$2:$A$201,0)))&lt;&gt;1,"任务阶段无效",IF(MATCH(INDEX('材料'!$H$2:$H$201,MATCH(D36,'材料'!$A$2:$A$201,0)),'要件与标签'!$D$23:$D$29,0)&gt;MATCH(INDEX('任务登记'!$G$2:$G$201,MATCH(B36,'任务登记'!$A$2:$A$201,0)),'要件与标签'!$D$23:$D$29,0),"引用未来材料",IF(AND(G36="REVISE",L36=""),"修订缺新记录",IF(AND(G36="PENDING",Q36=""),"待核缺实质冲突",IF(AND(H36="不受影响",G36&lt;&gt;"KEEP"),"核对范围与处置","字段齐备")))))))))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10" t="str">
        <x:f>IF(COUNTA(A37:Q37)=0,"",IF(OR(A37="",B37="",C37="",D37="",E37="",F37="",G37="",H37="",I37="",J37="",K37="",M37="",N37="",O37="",P37=""),"缺必填",IF(COUNTIF($A$2:$A$201,A37)&gt;1,"ID重复",IF(COUNTIF('任务登记'!$A$2:$A$201,B37)&lt;&gt;1,"任务ID无效",IF(COUNTIF('材料'!$A$2:$A$201,D37)&lt;&gt;1,"材料ID无效",IF(INDEX('材料'!$B$2:$B$201,MATCH(D37,'材料'!$A$2:$A$201,0))&lt;&gt;INDEX('任务登记'!$B$2:$B$201,MATCH(B37,'任务登记'!$A$2:$A$201,0)),"材料与任务跨案",IF(ISERROR(SEARCH(";"&amp;D37&amp;";",";"&amp;INDEX('任务登记'!$H$2:$H$201,MATCH(B37,'任务登记'!$A$2:$A$201,0))&amp;";")),"材料不在可见清单",IF(COUNTIF('要件与标签'!$D$23:$D$29,INDEX('材料'!$H$2:$H$201,MATCH(D37,'材料'!$A$2:$A$201,0)))&lt;&gt;1,"材料阶段无效",IF(COUNTIF('要件与标签'!$D$23:$D$29,INDEX('任务登记'!$G$2:$G$201,MATCH(B37,'任务登记'!$A$2:$A$201,0)))&lt;&gt;1,"任务阶段无效",IF(MATCH(INDEX('材料'!$H$2:$H$201,MATCH(D37,'材料'!$A$2:$A$201,0)),'要件与标签'!$D$23:$D$29,0)&gt;MATCH(INDEX('任务登记'!$G$2:$G$201,MATCH(B37,'任务登记'!$A$2:$A$201,0)),'要件与标签'!$D$23:$D$29,0),"引用未来材料",IF(AND(G37="REVISE",L37=""),"修订缺新记录",IF(AND(G37="PENDING",Q37=""),"待核缺实质冲突",IF(AND(H37="不受影响",G37&lt;&gt;"KEEP"),"核对范围与处置","字段齐备")))))))))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10" t="str">
        <x:f>IF(COUNTA(A38:Q38)=0,"",IF(OR(A38="",B38="",C38="",D38="",E38="",F38="",G38="",H38="",I38="",J38="",K38="",M38="",N38="",O38="",P38=""),"缺必填",IF(COUNTIF($A$2:$A$201,A38)&gt;1,"ID重复",IF(COUNTIF('任务登记'!$A$2:$A$201,B38)&lt;&gt;1,"任务ID无效",IF(COUNTIF('材料'!$A$2:$A$201,D38)&lt;&gt;1,"材料ID无效",IF(INDEX('材料'!$B$2:$B$201,MATCH(D38,'材料'!$A$2:$A$201,0))&lt;&gt;INDEX('任务登记'!$B$2:$B$201,MATCH(B38,'任务登记'!$A$2:$A$201,0)),"材料与任务跨案",IF(ISERROR(SEARCH(";"&amp;D38&amp;";",";"&amp;INDEX('任务登记'!$H$2:$H$201,MATCH(B38,'任务登记'!$A$2:$A$201,0))&amp;";")),"材料不在可见清单",IF(COUNTIF('要件与标签'!$D$23:$D$29,INDEX('材料'!$H$2:$H$201,MATCH(D38,'材料'!$A$2:$A$201,0)))&lt;&gt;1,"材料阶段无效",IF(COUNTIF('要件与标签'!$D$23:$D$29,INDEX('任务登记'!$G$2:$G$201,MATCH(B38,'任务登记'!$A$2:$A$201,0)))&lt;&gt;1,"任务阶段无效",IF(MATCH(INDEX('材料'!$H$2:$H$201,MATCH(D38,'材料'!$A$2:$A$201,0)),'要件与标签'!$D$23:$D$29,0)&gt;MATCH(INDEX('任务登记'!$G$2:$G$201,MATCH(B38,'任务登记'!$A$2:$A$201,0)),'要件与标签'!$D$23:$D$29,0),"引用未来材料",IF(AND(G38="REVISE",L38=""),"修订缺新记录",IF(AND(G38="PENDING",Q38=""),"待核缺实质冲突",IF(AND(H38="不受影响",G38&lt;&gt;"KEEP"),"核对范围与处置","字段齐备")))))))))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10" t="str">
        <x:f>IF(COUNTA(A39:Q39)=0,"",IF(OR(A39="",B39="",C39="",D39="",E39="",F39="",G39="",H39="",I39="",J39="",K39="",M39="",N39="",O39="",P39=""),"缺必填",IF(COUNTIF($A$2:$A$201,A39)&gt;1,"ID重复",IF(COUNTIF('任务登记'!$A$2:$A$201,B39)&lt;&gt;1,"任务ID无效",IF(COUNTIF('材料'!$A$2:$A$201,D39)&lt;&gt;1,"材料ID无效",IF(INDEX('材料'!$B$2:$B$201,MATCH(D39,'材料'!$A$2:$A$201,0))&lt;&gt;INDEX('任务登记'!$B$2:$B$201,MATCH(B39,'任务登记'!$A$2:$A$201,0)),"材料与任务跨案",IF(ISERROR(SEARCH(";"&amp;D39&amp;";",";"&amp;INDEX('任务登记'!$H$2:$H$201,MATCH(B39,'任务登记'!$A$2:$A$201,0))&amp;";")),"材料不在可见清单",IF(COUNTIF('要件与标签'!$D$23:$D$29,INDEX('材料'!$H$2:$H$201,MATCH(D39,'材料'!$A$2:$A$201,0)))&lt;&gt;1,"材料阶段无效",IF(COUNTIF('要件与标签'!$D$23:$D$29,INDEX('任务登记'!$G$2:$G$201,MATCH(B39,'任务登记'!$A$2:$A$201,0)))&lt;&gt;1,"任务阶段无效",IF(MATCH(INDEX('材料'!$H$2:$H$201,MATCH(D39,'材料'!$A$2:$A$201,0)),'要件与标签'!$D$23:$D$29,0)&gt;MATCH(INDEX('任务登记'!$G$2:$G$201,MATCH(B39,'任务登记'!$A$2:$A$201,0)),'要件与标签'!$D$23:$D$29,0),"引用未来材料",IF(AND(G39="REVISE",L39=""),"修订缺新记录",IF(AND(G39="PENDING",Q39=""),"待核缺实质冲突",IF(AND(H39="不受影响",G39&lt;&gt;"KEEP"),"核对范围与处置","字段齐备")))))))))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10" t="str">
        <x:f>IF(COUNTA(A40:Q40)=0,"",IF(OR(A40="",B40="",C40="",D40="",E40="",F40="",G40="",H40="",I40="",J40="",K40="",M40="",N40="",O40="",P40=""),"缺必填",IF(COUNTIF($A$2:$A$201,A40)&gt;1,"ID重复",IF(COUNTIF('任务登记'!$A$2:$A$201,B40)&lt;&gt;1,"任务ID无效",IF(COUNTIF('材料'!$A$2:$A$201,D40)&lt;&gt;1,"材料ID无效",IF(INDEX('材料'!$B$2:$B$201,MATCH(D40,'材料'!$A$2:$A$201,0))&lt;&gt;INDEX('任务登记'!$B$2:$B$201,MATCH(B40,'任务登记'!$A$2:$A$201,0)),"材料与任务跨案",IF(ISERROR(SEARCH(";"&amp;D40&amp;";",";"&amp;INDEX('任务登记'!$H$2:$H$201,MATCH(B40,'任务登记'!$A$2:$A$201,0))&amp;";")),"材料不在可见清单",IF(COUNTIF('要件与标签'!$D$23:$D$29,INDEX('材料'!$H$2:$H$201,MATCH(D40,'材料'!$A$2:$A$201,0)))&lt;&gt;1,"材料阶段无效",IF(COUNTIF('要件与标签'!$D$23:$D$29,INDEX('任务登记'!$G$2:$G$201,MATCH(B40,'任务登记'!$A$2:$A$201,0)))&lt;&gt;1,"任务阶段无效",IF(MATCH(INDEX('材料'!$H$2:$H$201,MATCH(D40,'材料'!$A$2:$A$201,0)),'要件与标签'!$D$23:$D$29,0)&gt;MATCH(INDEX('任务登记'!$G$2:$G$201,MATCH(B40,'任务登记'!$A$2:$A$201,0)),'要件与标签'!$D$23:$D$29,0),"引用未来材料",IF(AND(G40="REVISE",L40=""),"修订缺新记录",IF(AND(G40="PENDING",Q40=""),"待核缺实质冲突",IF(AND(H40="不受影响",G40&lt;&gt;"KEEP"),"核对范围与处置","字段齐备")))))))))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10" t="str">
        <x:f>IF(COUNTA(A41:Q41)=0,"",IF(OR(A41="",B41="",C41="",D41="",E41="",F41="",G41="",H41="",I41="",J41="",K41="",M41="",N41="",O41="",P41=""),"缺必填",IF(COUNTIF($A$2:$A$201,A41)&gt;1,"ID重复",IF(COUNTIF('任务登记'!$A$2:$A$201,B41)&lt;&gt;1,"任务ID无效",IF(COUNTIF('材料'!$A$2:$A$201,D41)&lt;&gt;1,"材料ID无效",IF(INDEX('材料'!$B$2:$B$201,MATCH(D41,'材料'!$A$2:$A$201,0))&lt;&gt;INDEX('任务登记'!$B$2:$B$201,MATCH(B41,'任务登记'!$A$2:$A$201,0)),"材料与任务跨案",IF(ISERROR(SEARCH(";"&amp;D41&amp;";",";"&amp;INDEX('任务登记'!$H$2:$H$201,MATCH(B41,'任务登记'!$A$2:$A$201,0))&amp;";")),"材料不在可见清单",IF(COUNTIF('要件与标签'!$D$23:$D$29,INDEX('材料'!$H$2:$H$201,MATCH(D41,'材料'!$A$2:$A$201,0)))&lt;&gt;1,"材料阶段无效",IF(COUNTIF('要件与标签'!$D$23:$D$29,INDEX('任务登记'!$G$2:$G$201,MATCH(B41,'任务登记'!$A$2:$A$201,0)))&lt;&gt;1,"任务阶段无效",IF(MATCH(INDEX('材料'!$H$2:$H$201,MATCH(D41,'材料'!$A$2:$A$201,0)),'要件与标签'!$D$23:$D$29,0)&gt;MATCH(INDEX('任务登记'!$G$2:$G$201,MATCH(B41,'任务登记'!$A$2:$A$201,0)),'要件与标签'!$D$23:$D$29,0),"引用未来材料",IF(AND(G41="REVISE",L41=""),"修订缺新记录",IF(AND(G41="PENDING",Q41=""),"待核缺实质冲突",IF(AND(H41="不受影响",G41&lt;&gt;"KEEP"),"核对范围与处置","字段齐备")))))))))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10" t="str">
        <x:f>IF(COUNTA(A42:Q42)=0,"",IF(OR(A42="",B42="",C42="",D42="",E42="",F42="",G42="",H42="",I42="",J42="",K42="",M42="",N42="",O42="",P42=""),"缺必填",IF(COUNTIF($A$2:$A$201,A42)&gt;1,"ID重复",IF(COUNTIF('任务登记'!$A$2:$A$201,B42)&lt;&gt;1,"任务ID无效",IF(COUNTIF('材料'!$A$2:$A$201,D42)&lt;&gt;1,"材料ID无效",IF(INDEX('材料'!$B$2:$B$201,MATCH(D42,'材料'!$A$2:$A$201,0))&lt;&gt;INDEX('任务登记'!$B$2:$B$201,MATCH(B42,'任务登记'!$A$2:$A$201,0)),"材料与任务跨案",IF(ISERROR(SEARCH(";"&amp;D42&amp;";",";"&amp;INDEX('任务登记'!$H$2:$H$201,MATCH(B42,'任务登记'!$A$2:$A$201,0))&amp;";")),"材料不在可见清单",IF(COUNTIF('要件与标签'!$D$23:$D$29,INDEX('材料'!$H$2:$H$201,MATCH(D42,'材料'!$A$2:$A$201,0)))&lt;&gt;1,"材料阶段无效",IF(COUNTIF('要件与标签'!$D$23:$D$29,INDEX('任务登记'!$G$2:$G$201,MATCH(B42,'任务登记'!$A$2:$A$201,0)))&lt;&gt;1,"任务阶段无效",IF(MATCH(INDEX('材料'!$H$2:$H$201,MATCH(D42,'材料'!$A$2:$A$201,0)),'要件与标签'!$D$23:$D$29,0)&gt;MATCH(INDEX('任务登记'!$G$2:$G$201,MATCH(B42,'任务登记'!$A$2:$A$201,0)),'要件与标签'!$D$23:$D$29,0),"引用未来材料",IF(AND(G42="REVISE",L42=""),"修订缺新记录",IF(AND(G42="PENDING",Q42=""),"待核缺实质冲突",IF(AND(H42="不受影响",G42&lt;&gt;"KEEP"),"核对范围与处置","字段齐备")))))))))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10" t="str">
        <x:f>IF(COUNTA(A43:Q43)=0,"",IF(OR(A43="",B43="",C43="",D43="",E43="",F43="",G43="",H43="",I43="",J43="",K43="",M43="",N43="",O43="",P43=""),"缺必填",IF(COUNTIF($A$2:$A$201,A43)&gt;1,"ID重复",IF(COUNTIF('任务登记'!$A$2:$A$201,B43)&lt;&gt;1,"任务ID无效",IF(COUNTIF('材料'!$A$2:$A$201,D43)&lt;&gt;1,"材料ID无效",IF(INDEX('材料'!$B$2:$B$201,MATCH(D43,'材料'!$A$2:$A$201,0))&lt;&gt;INDEX('任务登记'!$B$2:$B$201,MATCH(B43,'任务登记'!$A$2:$A$201,0)),"材料与任务跨案",IF(ISERROR(SEARCH(";"&amp;D43&amp;";",";"&amp;INDEX('任务登记'!$H$2:$H$201,MATCH(B43,'任务登记'!$A$2:$A$201,0))&amp;";")),"材料不在可见清单",IF(COUNTIF('要件与标签'!$D$23:$D$29,INDEX('材料'!$H$2:$H$201,MATCH(D43,'材料'!$A$2:$A$201,0)))&lt;&gt;1,"材料阶段无效",IF(COUNTIF('要件与标签'!$D$23:$D$29,INDEX('任务登记'!$G$2:$G$201,MATCH(B43,'任务登记'!$A$2:$A$201,0)))&lt;&gt;1,"任务阶段无效",IF(MATCH(INDEX('材料'!$H$2:$H$201,MATCH(D43,'材料'!$A$2:$A$201,0)),'要件与标签'!$D$23:$D$29,0)&gt;MATCH(INDEX('任务登记'!$G$2:$G$201,MATCH(B43,'任务登记'!$A$2:$A$201,0)),'要件与标签'!$D$23:$D$29,0),"引用未来材料",IF(AND(G43="REVISE",L43=""),"修订缺新记录",IF(AND(G43="PENDING",Q43=""),"待核缺实质冲突",IF(AND(H43="不受影响",G43&lt;&gt;"KEEP"),"核对范围与处置","字段齐备")))))))))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10" t="str">
        <x:f>IF(COUNTA(A44:Q44)=0,"",IF(OR(A44="",B44="",C44="",D44="",E44="",F44="",G44="",H44="",I44="",J44="",K44="",M44="",N44="",O44="",P44=""),"缺必填",IF(COUNTIF($A$2:$A$201,A44)&gt;1,"ID重复",IF(COUNTIF('任务登记'!$A$2:$A$201,B44)&lt;&gt;1,"任务ID无效",IF(COUNTIF('材料'!$A$2:$A$201,D44)&lt;&gt;1,"材料ID无效",IF(INDEX('材料'!$B$2:$B$201,MATCH(D44,'材料'!$A$2:$A$201,0))&lt;&gt;INDEX('任务登记'!$B$2:$B$201,MATCH(B44,'任务登记'!$A$2:$A$201,0)),"材料与任务跨案",IF(ISERROR(SEARCH(";"&amp;D44&amp;";",";"&amp;INDEX('任务登记'!$H$2:$H$201,MATCH(B44,'任务登记'!$A$2:$A$201,0))&amp;";")),"材料不在可见清单",IF(COUNTIF('要件与标签'!$D$23:$D$29,INDEX('材料'!$H$2:$H$201,MATCH(D44,'材料'!$A$2:$A$201,0)))&lt;&gt;1,"材料阶段无效",IF(COUNTIF('要件与标签'!$D$23:$D$29,INDEX('任务登记'!$G$2:$G$201,MATCH(B44,'任务登记'!$A$2:$A$201,0)))&lt;&gt;1,"任务阶段无效",IF(MATCH(INDEX('材料'!$H$2:$H$201,MATCH(D44,'材料'!$A$2:$A$201,0)),'要件与标签'!$D$23:$D$29,0)&gt;MATCH(INDEX('任务登记'!$G$2:$G$201,MATCH(B44,'任务登记'!$A$2:$A$201,0)),'要件与标签'!$D$23:$D$29,0),"引用未来材料",IF(AND(G44="REVISE",L44=""),"修订缺新记录",IF(AND(G44="PENDING",Q44=""),"待核缺实质冲突",IF(AND(H44="不受影响",G44&lt;&gt;"KEEP"),"核对范围与处置","字段齐备")))))))))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10" t="str">
        <x:f>IF(COUNTA(A45:Q45)=0,"",IF(OR(A45="",B45="",C45="",D45="",E45="",F45="",G45="",H45="",I45="",J45="",K45="",M45="",N45="",O45="",P45=""),"缺必填",IF(COUNTIF($A$2:$A$201,A45)&gt;1,"ID重复",IF(COUNTIF('任务登记'!$A$2:$A$201,B45)&lt;&gt;1,"任务ID无效",IF(COUNTIF('材料'!$A$2:$A$201,D45)&lt;&gt;1,"材料ID无效",IF(INDEX('材料'!$B$2:$B$201,MATCH(D45,'材料'!$A$2:$A$201,0))&lt;&gt;INDEX('任务登记'!$B$2:$B$201,MATCH(B45,'任务登记'!$A$2:$A$201,0)),"材料与任务跨案",IF(ISERROR(SEARCH(";"&amp;D45&amp;";",";"&amp;INDEX('任务登记'!$H$2:$H$201,MATCH(B45,'任务登记'!$A$2:$A$201,0))&amp;";")),"材料不在可见清单",IF(COUNTIF('要件与标签'!$D$23:$D$29,INDEX('材料'!$H$2:$H$201,MATCH(D45,'材料'!$A$2:$A$201,0)))&lt;&gt;1,"材料阶段无效",IF(COUNTIF('要件与标签'!$D$23:$D$29,INDEX('任务登记'!$G$2:$G$201,MATCH(B45,'任务登记'!$A$2:$A$201,0)))&lt;&gt;1,"任务阶段无效",IF(MATCH(INDEX('材料'!$H$2:$H$201,MATCH(D45,'材料'!$A$2:$A$201,0)),'要件与标签'!$D$23:$D$29,0)&gt;MATCH(INDEX('任务登记'!$G$2:$G$201,MATCH(B45,'任务登记'!$A$2:$A$201,0)),'要件与标签'!$D$23:$D$29,0),"引用未来材料",IF(AND(G45="REVISE",L45=""),"修订缺新记录",IF(AND(G45="PENDING",Q45=""),"待核缺实质冲突",IF(AND(H45="不受影响",G45&lt;&gt;"KEEP"),"核对范围与处置","字段齐备")))))))))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10" t="str">
        <x:f>IF(COUNTA(A46:Q46)=0,"",IF(OR(A46="",B46="",C46="",D46="",E46="",F46="",G46="",H46="",I46="",J46="",K46="",M46="",N46="",O46="",P46=""),"缺必填",IF(COUNTIF($A$2:$A$201,A46)&gt;1,"ID重复",IF(COUNTIF('任务登记'!$A$2:$A$201,B46)&lt;&gt;1,"任务ID无效",IF(COUNTIF('材料'!$A$2:$A$201,D46)&lt;&gt;1,"材料ID无效",IF(INDEX('材料'!$B$2:$B$201,MATCH(D46,'材料'!$A$2:$A$201,0))&lt;&gt;INDEX('任务登记'!$B$2:$B$201,MATCH(B46,'任务登记'!$A$2:$A$201,0)),"材料与任务跨案",IF(ISERROR(SEARCH(";"&amp;D46&amp;";",";"&amp;INDEX('任务登记'!$H$2:$H$201,MATCH(B46,'任务登记'!$A$2:$A$201,0))&amp;";")),"材料不在可见清单",IF(COUNTIF('要件与标签'!$D$23:$D$29,INDEX('材料'!$H$2:$H$201,MATCH(D46,'材料'!$A$2:$A$201,0)))&lt;&gt;1,"材料阶段无效",IF(COUNTIF('要件与标签'!$D$23:$D$29,INDEX('任务登记'!$G$2:$G$201,MATCH(B46,'任务登记'!$A$2:$A$201,0)))&lt;&gt;1,"任务阶段无效",IF(MATCH(INDEX('材料'!$H$2:$H$201,MATCH(D46,'材料'!$A$2:$A$201,0)),'要件与标签'!$D$23:$D$29,0)&gt;MATCH(INDEX('任务登记'!$G$2:$G$201,MATCH(B46,'任务登记'!$A$2:$A$201,0)),'要件与标签'!$D$23:$D$29,0),"引用未来材料",IF(AND(G46="REVISE",L46=""),"修订缺新记录",IF(AND(G46="PENDING",Q46=""),"待核缺实质冲突",IF(AND(H46="不受影响",G46&lt;&gt;"KEEP"),"核对范围与处置","字段齐备")))))))))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10" t="str">
        <x:f>IF(COUNTA(A47:Q47)=0,"",IF(OR(A47="",B47="",C47="",D47="",E47="",F47="",G47="",H47="",I47="",J47="",K47="",M47="",N47="",O47="",P47=""),"缺必填",IF(COUNTIF($A$2:$A$201,A47)&gt;1,"ID重复",IF(COUNTIF('任务登记'!$A$2:$A$201,B47)&lt;&gt;1,"任务ID无效",IF(COUNTIF('材料'!$A$2:$A$201,D47)&lt;&gt;1,"材料ID无效",IF(INDEX('材料'!$B$2:$B$201,MATCH(D47,'材料'!$A$2:$A$201,0))&lt;&gt;INDEX('任务登记'!$B$2:$B$201,MATCH(B47,'任务登记'!$A$2:$A$201,0)),"材料与任务跨案",IF(ISERROR(SEARCH(";"&amp;D47&amp;";",";"&amp;INDEX('任务登记'!$H$2:$H$201,MATCH(B47,'任务登记'!$A$2:$A$201,0))&amp;";")),"材料不在可见清单",IF(COUNTIF('要件与标签'!$D$23:$D$29,INDEX('材料'!$H$2:$H$201,MATCH(D47,'材料'!$A$2:$A$201,0)))&lt;&gt;1,"材料阶段无效",IF(COUNTIF('要件与标签'!$D$23:$D$29,INDEX('任务登记'!$G$2:$G$201,MATCH(B47,'任务登记'!$A$2:$A$201,0)))&lt;&gt;1,"任务阶段无效",IF(MATCH(INDEX('材料'!$H$2:$H$201,MATCH(D47,'材料'!$A$2:$A$201,0)),'要件与标签'!$D$23:$D$29,0)&gt;MATCH(INDEX('任务登记'!$G$2:$G$201,MATCH(B47,'任务登记'!$A$2:$A$201,0)),'要件与标签'!$D$23:$D$29,0),"引用未来材料",IF(AND(G47="REVISE",L47=""),"修订缺新记录",IF(AND(G47="PENDING",Q47=""),"待核缺实质冲突",IF(AND(H47="不受影响",G47&lt;&gt;"KEEP"),"核对范围与处置","字段齐备")))))))))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10" t="str">
        <x:f>IF(COUNTA(A48:Q48)=0,"",IF(OR(A48="",B48="",C48="",D48="",E48="",F48="",G48="",H48="",I48="",J48="",K48="",M48="",N48="",O48="",P48=""),"缺必填",IF(COUNTIF($A$2:$A$201,A48)&gt;1,"ID重复",IF(COUNTIF('任务登记'!$A$2:$A$201,B48)&lt;&gt;1,"任务ID无效",IF(COUNTIF('材料'!$A$2:$A$201,D48)&lt;&gt;1,"材料ID无效",IF(INDEX('材料'!$B$2:$B$201,MATCH(D48,'材料'!$A$2:$A$201,0))&lt;&gt;INDEX('任务登记'!$B$2:$B$201,MATCH(B48,'任务登记'!$A$2:$A$201,0)),"材料与任务跨案",IF(ISERROR(SEARCH(";"&amp;D48&amp;";",";"&amp;INDEX('任务登记'!$H$2:$H$201,MATCH(B48,'任务登记'!$A$2:$A$201,0))&amp;";")),"材料不在可见清单",IF(COUNTIF('要件与标签'!$D$23:$D$29,INDEX('材料'!$H$2:$H$201,MATCH(D48,'材料'!$A$2:$A$201,0)))&lt;&gt;1,"材料阶段无效",IF(COUNTIF('要件与标签'!$D$23:$D$29,INDEX('任务登记'!$G$2:$G$201,MATCH(B48,'任务登记'!$A$2:$A$201,0)))&lt;&gt;1,"任务阶段无效",IF(MATCH(INDEX('材料'!$H$2:$H$201,MATCH(D48,'材料'!$A$2:$A$201,0)),'要件与标签'!$D$23:$D$29,0)&gt;MATCH(INDEX('任务登记'!$G$2:$G$201,MATCH(B48,'任务登记'!$A$2:$A$201,0)),'要件与标签'!$D$23:$D$29,0),"引用未来材料",IF(AND(G48="REVISE",L48=""),"修订缺新记录",IF(AND(G48="PENDING",Q48=""),"待核缺实质冲突",IF(AND(H48="不受影响",G48&lt;&gt;"KEEP"),"核对范围与处置","字段齐备")))))))))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10" t="str">
        <x:f>IF(COUNTA(A49:Q49)=0,"",IF(OR(A49="",B49="",C49="",D49="",E49="",F49="",G49="",H49="",I49="",J49="",K49="",M49="",N49="",O49="",P49=""),"缺必填",IF(COUNTIF($A$2:$A$201,A49)&gt;1,"ID重复",IF(COUNTIF('任务登记'!$A$2:$A$201,B49)&lt;&gt;1,"任务ID无效",IF(COUNTIF('材料'!$A$2:$A$201,D49)&lt;&gt;1,"材料ID无效",IF(INDEX('材料'!$B$2:$B$201,MATCH(D49,'材料'!$A$2:$A$201,0))&lt;&gt;INDEX('任务登记'!$B$2:$B$201,MATCH(B49,'任务登记'!$A$2:$A$201,0)),"材料与任务跨案",IF(ISERROR(SEARCH(";"&amp;D49&amp;";",";"&amp;INDEX('任务登记'!$H$2:$H$201,MATCH(B49,'任务登记'!$A$2:$A$201,0))&amp;";")),"材料不在可见清单",IF(COUNTIF('要件与标签'!$D$23:$D$29,INDEX('材料'!$H$2:$H$201,MATCH(D49,'材料'!$A$2:$A$201,0)))&lt;&gt;1,"材料阶段无效",IF(COUNTIF('要件与标签'!$D$23:$D$29,INDEX('任务登记'!$G$2:$G$201,MATCH(B49,'任务登记'!$A$2:$A$201,0)))&lt;&gt;1,"任务阶段无效",IF(MATCH(INDEX('材料'!$H$2:$H$201,MATCH(D49,'材料'!$A$2:$A$201,0)),'要件与标签'!$D$23:$D$29,0)&gt;MATCH(INDEX('任务登记'!$G$2:$G$201,MATCH(B49,'任务登记'!$A$2:$A$201,0)),'要件与标签'!$D$23:$D$29,0),"引用未来材料",IF(AND(G49="REVISE",L49=""),"修订缺新记录",IF(AND(G49="PENDING",Q49=""),"待核缺实质冲突",IF(AND(H49="不受影响",G49&lt;&gt;"KEEP"),"核对范围与处置","字段齐备")))))))))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10" t="str">
        <x:f>IF(COUNTA(A50:Q50)=0,"",IF(OR(A50="",B50="",C50="",D50="",E50="",F50="",G50="",H50="",I50="",J50="",K50="",M50="",N50="",O50="",P50=""),"缺必填",IF(COUNTIF($A$2:$A$201,A50)&gt;1,"ID重复",IF(COUNTIF('任务登记'!$A$2:$A$201,B50)&lt;&gt;1,"任务ID无效",IF(COUNTIF('材料'!$A$2:$A$201,D50)&lt;&gt;1,"材料ID无效",IF(INDEX('材料'!$B$2:$B$201,MATCH(D50,'材料'!$A$2:$A$201,0))&lt;&gt;INDEX('任务登记'!$B$2:$B$201,MATCH(B50,'任务登记'!$A$2:$A$201,0)),"材料与任务跨案",IF(ISERROR(SEARCH(";"&amp;D50&amp;";",";"&amp;INDEX('任务登记'!$H$2:$H$201,MATCH(B50,'任务登记'!$A$2:$A$201,0))&amp;";")),"材料不在可见清单",IF(COUNTIF('要件与标签'!$D$23:$D$29,INDEX('材料'!$H$2:$H$201,MATCH(D50,'材料'!$A$2:$A$201,0)))&lt;&gt;1,"材料阶段无效",IF(COUNTIF('要件与标签'!$D$23:$D$29,INDEX('任务登记'!$G$2:$G$201,MATCH(B50,'任务登记'!$A$2:$A$201,0)))&lt;&gt;1,"任务阶段无效",IF(MATCH(INDEX('材料'!$H$2:$H$201,MATCH(D50,'材料'!$A$2:$A$201,0)),'要件与标签'!$D$23:$D$29,0)&gt;MATCH(INDEX('任务登记'!$G$2:$G$201,MATCH(B50,'任务登记'!$A$2:$A$201,0)),'要件与标签'!$D$23:$D$29,0),"引用未来材料",IF(AND(G50="REVISE",L50=""),"修订缺新记录",IF(AND(G50="PENDING",Q50=""),"待核缺实质冲突",IF(AND(H50="不受影响",G50&lt;&gt;"KEEP"),"核对范围与处置","字段齐备")))))))))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10" t="str">
        <x:f>IF(COUNTA(A51:Q51)=0,"",IF(OR(A51="",B51="",C51="",D51="",E51="",F51="",G51="",H51="",I51="",J51="",K51="",M51="",N51="",O51="",P51=""),"缺必填",IF(COUNTIF($A$2:$A$201,A51)&gt;1,"ID重复",IF(COUNTIF('任务登记'!$A$2:$A$201,B51)&lt;&gt;1,"任务ID无效",IF(COUNTIF('材料'!$A$2:$A$201,D51)&lt;&gt;1,"材料ID无效",IF(INDEX('材料'!$B$2:$B$201,MATCH(D51,'材料'!$A$2:$A$201,0))&lt;&gt;INDEX('任务登记'!$B$2:$B$201,MATCH(B51,'任务登记'!$A$2:$A$201,0)),"材料与任务跨案",IF(ISERROR(SEARCH(";"&amp;D51&amp;";",";"&amp;INDEX('任务登记'!$H$2:$H$201,MATCH(B51,'任务登记'!$A$2:$A$201,0))&amp;";")),"材料不在可见清单",IF(COUNTIF('要件与标签'!$D$23:$D$29,INDEX('材料'!$H$2:$H$201,MATCH(D51,'材料'!$A$2:$A$201,0)))&lt;&gt;1,"材料阶段无效",IF(COUNTIF('要件与标签'!$D$23:$D$29,INDEX('任务登记'!$G$2:$G$201,MATCH(B51,'任务登记'!$A$2:$A$201,0)))&lt;&gt;1,"任务阶段无效",IF(MATCH(INDEX('材料'!$H$2:$H$201,MATCH(D51,'材料'!$A$2:$A$201,0)),'要件与标签'!$D$23:$D$29,0)&gt;MATCH(INDEX('任务登记'!$G$2:$G$201,MATCH(B51,'任务登记'!$A$2:$A$201,0)),'要件与标签'!$D$23:$D$29,0),"引用未来材料",IF(AND(G51="REVISE",L51=""),"修订缺新记录",IF(AND(G51="PENDING",Q51=""),"待核缺实质冲突",IF(AND(H51="不受影响",G51&lt;&gt;"KEEP"),"核对范围与处置","字段齐备")))))))))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10" t="str">
        <x:f>IF(COUNTA(A52:Q52)=0,"",IF(OR(A52="",B52="",C52="",D52="",E52="",F52="",G52="",H52="",I52="",J52="",K52="",M52="",N52="",O52="",P52=""),"缺必填",IF(COUNTIF($A$2:$A$201,A52)&gt;1,"ID重复",IF(COUNTIF('任务登记'!$A$2:$A$201,B52)&lt;&gt;1,"任务ID无效",IF(COUNTIF('材料'!$A$2:$A$201,D52)&lt;&gt;1,"材料ID无效",IF(INDEX('材料'!$B$2:$B$201,MATCH(D52,'材料'!$A$2:$A$201,0))&lt;&gt;INDEX('任务登记'!$B$2:$B$201,MATCH(B52,'任务登记'!$A$2:$A$201,0)),"材料与任务跨案",IF(ISERROR(SEARCH(";"&amp;D52&amp;";",";"&amp;INDEX('任务登记'!$H$2:$H$201,MATCH(B52,'任务登记'!$A$2:$A$201,0))&amp;";")),"材料不在可见清单",IF(COUNTIF('要件与标签'!$D$23:$D$29,INDEX('材料'!$H$2:$H$201,MATCH(D52,'材料'!$A$2:$A$201,0)))&lt;&gt;1,"材料阶段无效",IF(COUNTIF('要件与标签'!$D$23:$D$29,INDEX('任务登记'!$G$2:$G$201,MATCH(B52,'任务登记'!$A$2:$A$201,0)))&lt;&gt;1,"任务阶段无效",IF(MATCH(INDEX('材料'!$H$2:$H$201,MATCH(D52,'材料'!$A$2:$A$201,0)),'要件与标签'!$D$23:$D$29,0)&gt;MATCH(INDEX('任务登记'!$G$2:$G$201,MATCH(B52,'任务登记'!$A$2:$A$201,0)),'要件与标签'!$D$23:$D$29,0),"引用未来材料",IF(AND(G52="REVISE",L52=""),"修订缺新记录",IF(AND(G52="PENDING",Q52=""),"待核缺实质冲突",IF(AND(H52="不受影响",G52&lt;&gt;"KEEP"),"核对范围与处置","字段齐备")))))))))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10" t="str">
        <x:f>IF(COUNTA(A53:Q53)=0,"",IF(OR(A53="",B53="",C53="",D53="",E53="",F53="",G53="",H53="",I53="",J53="",K53="",M53="",N53="",O53="",P53=""),"缺必填",IF(COUNTIF($A$2:$A$201,A53)&gt;1,"ID重复",IF(COUNTIF('任务登记'!$A$2:$A$201,B53)&lt;&gt;1,"任务ID无效",IF(COUNTIF('材料'!$A$2:$A$201,D53)&lt;&gt;1,"材料ID无效",IF(INDEX('材料'!$B$2:$B$201,MATCH(D53,'材料'!$A$2:$A$201,0))&lt;&gt;INDEX('任务登记'!$B$2:$B$201,MATCH(B53,'任务登记'!$A$2:$A$201,0)),"材料与任务跨案",IF(ISERROR(SEARCH(";"&amp;D53&amp;";",";"&amp;INDEX('任务登记'!$H$2:$H$201,MATCH(B53,'任务登记'!$A$2:$A$201,0))&amp;";")),"材料不在可见清单",IF(COUNTIF('要件与标签'!$D$23:$D$29,INDEX('材料'!$H$2:$H$201,MATCH(D53,'材料'!$A$2:$A$201,0)))&lt;&gt;1,"材料阶段无效",IF(COUNTIF('要件与标签'!$D$23:$D$29,INDEX('任务登记'!$G$2:$G$201,MATCH(B53,'任务登记'!$A$2:$A$201,0)))&lt;&gt;1,"任务阶段无效",IF(MATCH(INDEX('材料'!$H$2:$H$201,MATCH(D53,'材料'!$A$2:$A$201,0)),'要件与标签'!$D$23:$D$29,0)&gt;MATCH(INDEX('任务登记'!$G$2:$G$201,MATCH(B53,'任务登记'!$A$2:$A$201,0)),'要件与标签'!$D$23:$D$29,0),"引用未来材料",IF(AND(G53="REVISE",L53=""),"修订缺新记录",IF(AND(G53="PENDING",Q53=""),"待核缺实质冲突",IF(AND(H53="不受影响",G53&lt;&gt;"KEEP"),"核对范围与处置","字段齐备")))))))))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10" t="str">
        <x:f>IF(COUNTA(A54:Q54)=0,"",IF(OR(A54="",B54="",C54="",D54="",E54="",F54="",G54="",H54="",I54="",J54="",K54="",M54="",N54="",O54="",P54=""),"缺必填",IF(COUNTIF($A$2:$A$201,A54)&gt;1,"ID重复",IF(COUNTIF('任务登记'!$A$2:$A$201,B54)&lt;&gt;1,"任务ID无效",IF(COUNTIF('材料'!$A$2:$A$201,D54)&lt;&gt;1,"材料ID无效",IF(INDEX('材料'!$B$2:$B$201,MATCH(D54,'材料'!$A$2:$A$201,0))&lt;&gt;INDEX('任务登记'!$B$2:$B$201,MATCH(B54,'任务登记'!$A$2:$A$201,0)),"材料与任务跨案",IF(ISERROR(SEARCH(";"&amp;D54&amp;";",";"&amp;INDEX('任务登记'!$H$2:$H$201,MATCH(B54,'任务登记'!$A$2:$A$201,0))&amp;";")),"材料不在可见清单",IF(COUNTIF('要件与标签'!$D$23:$D$29,INDEX('材料'!$H$2:$H$201,MATCH(D54,'材料'!$A$2:$A$201,0)))&lt;&gt;1,"材料阶段无效",IF(COUNTIF('要件与标签'!$D$23:$D$29,INDEX('任务登记'!$G$2:$G$201,MATCH(B54,'任务登记'!$A$2:$A$201,0)))&lt;&gt;1,"任务阶段无效",IF(MATCH(INDEX('材料'!$H$2:$H$201,MATCH(D54,'材料'!$A$2:$A$201,0)),'要件与标签'!$D$23:$D$29,0)&gt;MATCH(INDEX('任务登记'!$G$2:$G$201,MATCH(B54,'任务登记'!$A$2:$A$201,0)),'要件与标签'!$D$23:$D$29,0),"引用未来材料",IF(AND(G54="REVISE",L54=""),"修订缺新记录",IF(AND(G54="PENDING",Q54=""),"待核缺实质冲突",IF(AND(H54="不受影响",G54&lt;&gt;"KEEP"),"核对范围与处置","字段齐备")))))))))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10" t="str">
        <x:f>IF(COUNTA(A55:Q55)=0,"",IF(OR(A55="",B55="",C55="",D55="",E55="",F55="",G55="",H55="",I55="",J55="",K55="",M55="",N55="",O55="",P55=""),"缺必填",IF(COUNTIF($A$2:$A$201,A55)&gt;1,"ID重复",IF(COUNTIF('任务登记'!$A$2:$A$201,B55)&lt;&gt;1,"任务ID无效",IF(COUNTIF('材料'!$A$2:$A$201,D55)&lt;&gt;1,"材料ID无效",IF(INDEX('材料'!$B$2:$B$201,MATCH(D55,'材料'!$A$2:$A$201,0))&lt;&gt;INDEX('任务登记'!$B$2:$B$201,MATCH(B55,'任务登记'!$A$2:$A$201,0)),"材料与任务跨案",IF(ISERROR(SEARCH(";"&amp;D55&amp;";",";"&amp;INDEX('任务登记'!$H$2:$H$201,MATCH(B55,'任务登记'!$A$2:$A$201,0))&amp;";")),"材料不在可见清单",IF(COUNTIF('要件与标签'!$D$23:$D$29,INDEX('材料'!$H$2:$H$201,MATCH(D55,'材料'!$A$2:$A$201,0)))&lt;&gt;1,"材料阶段无效",IF(COUNTIF('要件与标签'!$D$23:$D$29,INDEX('任务登记'!$G$2:$G$201,MATCH(B55,'任务登记'!$A$2:$A$201,0)))&lt;&gt;1,"任务阶段无效",IF(MATCH(INDEX('材料'!$H$2:$H$201,MATCH(D55,'材料'!$A$2:$A$201,0)),'要件与标签'!$D$23:$D$29,0)&gt;MATCH(INDEX('任务登记'!$G$2:$G$201,MATCH(B55,'任务登记'!$A$2:$A$201,0)),'要件与标签'!$D$23:$D$29,0),"引用未来材料",IF(AND(G55="REVISE",L55=""),"修订缺新记录",IF(AND(G55="PENDING",Q55=""),"待核缺实质冲突",IF(AND(H55="不受影响",G55&lt;&gt;"KEEP"),"核对范围与处置","字段齐备")))))))))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10" t="str">
        <x:f>IF(COUNTA(A56:Q56)=0,"",IF(OR(A56="",B56="",C56="",D56="",E56="",F56="",G56="",H56="",I56="",J56="",K56="",M56="",N56="",O56="",P56=""),"缺必填",IF(COUNTIF($A$2:$A$201,A56)&gt;1,"ID重复",IF(COUNTIF('任务登记'!$A$2:$A$201,B56)&lt;&gt;1,"任务ID无效",IF(COUNTIF('材料'!$A$2:$A$201,D56)&lt;&gt;1,"材料ID无效",IF(INDEX('材料'!$B$2:$B$201,MATCH(D56,'材料'!$A$2:$A$201,0))&lt;&gt;INDEX('任务登记'!$B$2:$B$201,MATCH(B56,'任务登记'!$A$2:$A$201,0)),"材料与任务跨案",IF(ISERROR(SEARCH(";"&amp;D56&amp;";",";"&amp;INDEX('任务登记'!$H$2:$H$201,MATCH(B56,'任务登记'!$A$2:$A$201,0))&amp;";")),"材料不在可见清单",IF(COUNTIF('要件与标签'!$D$23:$D$29,INDEX('材料'!$H$2:$H$201,MATCH(D56,'材料'!$A$2:$A$201,0)))&lt;&gt;1,"材料阶段无效",IF(COUNTIF('要件与标签'!$D$23:$D$29,INDEX('任务登记'!$G$2:$G$201,MATCH(B56,'任务登记'!$A$2:$A$201,0)))&lt;&gt;1,"任务阶段无效",IF(MATCH(INDEX('材料'!$H$2:$H$201,MATCH(D56,'材料'!$A$2:$A$201,0)),'要件与标签'!$D$23:$D$29,0)&gt;MATCH(INDEX('任务登记'!$G$2:$G$201,MATCH(B56,'任务登记'!$A$2:$A$201,0)),'要件与标签'!$D$23:$D$29,0),"引用未来材料",IF(AND(G56="REVISE",L56=""),"修订缺新记录",IF(AND(G56="PENDING",Q56=""),"待核缺实质冲突",IF(AND(H56="不受影响",G56&lt;&gt;"KEEP"),"核对范围与处置","字段齐备")))))))))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10" t="str">
        <x:f>IF(COUNTA(A57:Q57)=0,"",IF(OR(A57="",B57="",C57="",D57="",E57="",F57="",G57="",H57="",I57="",J57="",K57="",M57="",N57="",O57="",P57=""),"缺必填",IF(COUNTIF($A$2:$A$201,A57)&gt;1,"ID重复",IF(COUNTIF('任务登记'!$A$2:$A$201,B57)&lt;&gt;1,"任务ID无效",IF(COUNTIF('材料'!$A$2:$A$201,D57)&lt;&gt;1,"材料ID无效",IF(INDEX('材料'!$B$2:$B$201,MATCH(D57,'材料'!$A$2:$A$201,0))&lt;&gt;INDEX('任务登记'!$B$2:$B$201,MATCH(B57,'任务登记'!$A$2:$A$201,0)),"材料与任务跨案",IF(ISERROR(SEARCH(";"&amp;D57&amp;";",";"&amp;INDEX('任务登记'!$H$2:$H$201,MATCH(B57,'任务登记'!$A$2:$A$201,0))&amp;";")),"材料不在可见清单",IF(COUNTIF('要件与标签'!$D$23:$D$29,INDEX('材料'!$H$2:$H$201,MATCH(D57,'材料'!$A$2:$A$201,0)))&lt;&gt;1,"材料阶段无效",IF(COUNTIF('要件与标签'!$D$23:$D$29,INDEX('任务登记'!$G$2:$G$201,MATCH(B57,'任务登记'!$A$2:$A$201,0)))&lt;&gt;1,"任务阶段无效",IF(MATCH(INDEX('材料'!$H$2:$H$201,MATCH(D57,'材料'!$A$2:$A$201,0)),'要件与标签'!$D$23:$D$29,0)&gt;MATCH(INDEX('任务登记'!$G$2:$G$201,MATCH(B57,'任务登记'!$A$2:$A$201,0)),'要件与标签'!$D$23:$D$29,0),"引用未来材料",IF(AND(G57="REVISE",L57=""),"修订缺新记录",IF(AND(G57="PENDING",Q57=""),"待核缺实质冲突",IF(AND(H57="不受影响",G57&lt;&gt;"KEEP"),"核对范围与处置","字段齐备")))))))))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10" t="str">
        <x:f>IF(COUNTA(A58:Q58)=0,"",IF(OR(A58="",B58="",C58="",D58="",E58="",F58="",G58="",H58="",I58="",J58="",K58="",M58="",N58="",O58="",P58=""),"缺必填",IF(COUNTIF($A$2:$A$201,A58)&gt;1,"ID重复",IF(COUNTIF('任务登记'!$A$2:$A$201,B58)&lt;&gt;1,"任务ID无效",IF(COUNTIF('材料'!$A$2:$A$201,D58)&lt;&gt;1,"材料ID无效",IF(INDEX('材料'!$B$2:$B$201,MATCH(D58,'材料'!$A$2:$A$201,0))&lt;&gt;INDEX('任务登记'!$B$2:$B$201,MATCH(B58,'任务登记'!$A$2:$A$201,0)),"材料与任务跨案",IF(ISERROR(SEARCH(";"&amp;D58&amp;";",";"&amp;INDEX('任务登记'!$H$2:$H$201,MATCH(B58,'任务登记'!$A$2:$A$201,0))&amp;";")),"材料不在可见清单",IF(COUNTIF('要件与标签'!$D$23:$D$29,INDEX('材料'!$H$2:$H$201,MATCH(D58,'材料'!$A$2:$A$201,0)))&lt;&gt;1,"材料阶段无效",IF(COUNTIF('要件与标签'!$D$23:$D$29,INDEX('任务登记'!$G$2:$G$201,MATCH(B58,'任务登记'!$A$2:$A$201,0)))&lt;&gt;1,"任务阶段无效",IF(MATCH(INDEX('材料'!$H$2:$H$201,MATCH(D58,'材料'!$A$2:$A$201,0)),'要件与标签'!$D$23:$D$29,0)&gt;MATCH(INDEX('任务登记'!$G$2:$G$201,MATCH(B58,'任务登记'!$A$2:$A$201,0)),'要件与标签'!$D$23:$D$29,0),"引用未来材料",IF(AND(G58="REVISE",L58=""),"修订缺新记录",IF(AND(G58="PENDING",Q58=""),"待核缺实质冲突",IF(AND(H58="不受影响",G58&lt;&gt;"KEEP"),"核对范围与处置","字段齐备")))))))))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10" t="str">
        <x:f>IF(COUNTA(A59:Q59)=0,"",IF(OR(A59="",B59="",C59="",D59="",E59="",F59="",G59="",H59="",I59="",J59="",K59="",M59="",N59="",O59="",P59=""),"缺必填",IF(COUNTIF($A$2:$A$201,A59)&gt;1,"ID重复",IF(COUNTIF('任务登记'!$A$2:$A$201,B59)&lt;&gt;1,"任务ID无效",IF(COUNTIF('材料'!$A$2:$A$201,D59)&lt;&gt;1,"材料ID无效",IF(INDEX('材料'!$B$2:$B$201,MATCH(D59,'材料'!$A$2:$A$201,0))&lt;&gt;INDEX('任务登记'!$B$2:$B$201,MATCH(B59,'任务登记'!$A$2:$A$201,0)),"材料与任务跨案",IF(ISERROR(SEARCH(";"&amp;D59&amp;";",";"&amp;INDEX('任务登记'!$H$2:$H$201,MATCH(B59,'任务登记'!$A$2:$A$201,0))&amp;";")),"材料不在可见清单",IF(COUNTIF('要件与标签'!$D$23:$D$29,INDEX('材料'!$H$2:$H$201,MATCH(D59,'材料'!$A$2:$A$201,0)))&lt;&gt;1,"材料阶段无效",IF(COUNTIF('要件与标签'!$D$23:$D$29,INDEX('任务登记'!$G$2:$G$201,MATCH(B59,'任务登记'!$A$2:$A$201,0)))&lt;&gt;1,"任务阶段无效",IF(MATCH(INDEX('材料'!$H$2:$H$201,MATCH(D59,'材料'!$A$2:$A$201,0)),'要件与标签'!$D$23:$D$29,0)&gt;MATCH(INDEX('任务登记'!$G$2:$G$201,MATCH(B59,'任务登记'!$A$2:$A$201,0)),'要件与标签'!$D$23:$D$29,0),"引用未来材料",IF(AND(G59="REVISE",L59=""),"修订缺新记录",IF(AND(G59="PENDING",Q59=""),"待核缺实质冲突",IF(AND(H59="不受影响",G59&lt;&gt;"KEEP"),"核对范围与处置","字段齐备")))))))))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10" t="str">
        <x:f>IF(COUNTA(A60:Q60)=0,"",IF(OR(A60="",B60="",C60="",D60="",E60="",F60="",G60="",H60="",I60="",J60="",K60="",M60="",N60="",O60="",P60=""),"缺必填",IF(COUNTIF($A$2:$A$201,A60)&gt;1,"ID重复",IF(COUNTIF('任务登记'!$A$2:$A$201,B60)&lt;&gt;1,"任务ID无效",IF(COUNTIF('材料'!$A$2:$A$201,D60)&lt;&gt;1,"材料ID无效",IF(INDEX('材料'!$B$2:$B$201,MATCH(D60,'材料'!$A$2:$A$201,0))&lt;&gt;INDEX('任务登记'!$B$2:$B$201,MATCH(B60,'任务登记'!$A$2:$A$201,0)),"材料与任务跨案",IF(ISERROR(SEARCH(";"&amp;D60&amp;";",";"&amp;INDEX('任务登记'!$H$2:$H$201,MATCH(B60,'任务登记'!$A$2:$A$201,0))&amp;";")),"材料不在可见清单",IF(COUNTIF('要件与标签'!$D$23:$D$29,INDEX('材料'!$H$2:$H$201,MATCH(D60,'材料'!$A$2:$A$201,0)))&lt;&gt;1,"材料阶段无效",IF(COUNTIF('要件与标签'!$D$23:$D$29,INDEX('任务登记'!$G$2:$G$201,MATCH(B60,'任务登记'!$A$2:$A$201,0)))&lt;&gt;1,"任务阶段无效",IF(MATCH(INDEX('材料'!$H$2:$H$201,MATCH(D60,'材料'!$A$2:$A$201,0)),'要件与标签'!$D$23:$D$29,0)&gt;MATCH(INDEX('任务登记'!$G$2:$G$201,MATCH(B60,'任务登记'!$A$2:$A$201,0)),'要件与标签'!$D$23:$D$29,0),"引用未来材料",IF(AND(G60="REVISE",L60=""),"修订缺新记录",IF(AND(G60="PENDING",Q60=""),"待核缺实质冲突",IF(AND(H60="不受影响",G60&lt;&gt;"KEEP"),"核对范围与处置","字段齐备")))))))))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10" t="str">
        <x:f>IF(COUNTA(A61:Q61)=0,"",IF(OR(A61="",B61="",C61="",D61="",E61="",F61="",G61="",H61="",I61="",J61="",K61="",M61="",N61="",O61="",P61=""),"缺必填",IF(COUNTIF($A$2:$A$201,A61)&gt;1,"ID重复",IF(COUNTIF('任务登记'!$A$2:$A$201,B61)&lt;&gt;1,"任务ID无效",IF(COUNTIF('材料'!$A$2:$A$201,D61)&lt;&gt;1,"材料ID无效",IF(INDEX('材料'!$B$2:$B$201,MATCH(D61,'材料'!$A$2:$A$201,0))&lt;&gt;INDEX('任务登记'!$B$2:$B$201,MATCH(B61,'任务登记'!$A$2:$A$201,0)),"材料与任务跨案",IF(ISERROR(SEARCH(";"&amp;D61&amp;";",";"&amp;INDEX('任务登记'!$H$2:$H$201,MATCH(B61,'任务登记'!$A$2:$A$201,0))&amp;";")),"材料不在可见清单",IF(COUNTIF('要件与标签'!$D$23:$D$29,INDEX('材料'!$H$2:$H$201,MATCH(D61,'材料'!$A$2:$A$201,0)))&lt;&gt;1,"材料阶段无效",IF(COUNTIF('要件与标签'!$D$23:$D$29,INDEX('任务登记'!$G$2:$G$201,MATCH(B61,'任务登记'!$A$2:$A$201,0)))&lt;&gt;1,"任务阶段无效",IF(MATCH(INDEX('材料'!$H$2:$H$201,MATCH(D61,'材料'!$A$2:$A$201,0)),'要件与标签'!$D$23:$D$29,0)&gt;MATCH(INDEX('任务登记'!$G$2:$G$201,MATCH(B61,'任务登记'!$A$2:$A$201,0)),'要件与标签'!$D$23:$D$29,0),"引用未来材料",IF(AND(G61="REVISE",L61=""),"修订缺新记录",IF(AND(G61="PENDING",Q61=""),"待核缺实质冲突",IF(AND(H61="不受影响",G61&lt;&gt;"KEEP"),"核对范围与处置","字段齐备")))))))))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10" t="str">
        <x:f>IF(COUNTA(A62:Q62)=0,"",IF(OR(A62="",B62="",C62="",D62="",E62="",F62="",G62="",H62="",I62="",J62="",K62="",M62="",N62="",O62="",P62=""),"缺必填",IF(COUNTIF($A$2:$A$201,A62)&gt;1,"ID重复",IF(COUNTIF('任务登记'!$A$2:$A$201,B62)&lt;&gt;1,"任务ID无效",IF(COUNTIF('材料'!$A$2:$A$201,D62)&lt;&gt;1,"材料ID无效",IF(INDEX('材料'!$B$2:$B$201,MATCH(D62,'材料'!$A$2:$A$201,0))&lt;&gt;INDEX('任务登记'!$B$2:$B$201,MATCH(B62,'任务登记'!$A$2:$A$201,0)),"材料与任务跨案",IF(ISERROR(SEARCH(";"&amp;D62&amp;";",";"&amp;INDEX('任务登记'!$H$2:$H$201,MATCH(B62,'任务登记'!$A$2:$A$201,0))&amp;";")),"材料不在可见清单",IF(COUNTIF('要件与标签'!$D$23:$D$29,INDEX('材料'!$H$2:$H$201,MATCH(D62,'材料'!$A$2:$A$201,0)))&lt;&gt;1,"材料阶段无效",IF(COUNTIF('要件与标签'!$D$23:$D$29,INDEX('任务登记'!$G$2:$G$201,MATCH(B62,'任务登记'!$A$2:$A$201,0)))&lt;&gt;1,"任务阶段无效",IF(MATCH(INDEX('材料'!$H$2:$H$201,MATCH(D62,'材料'!$A$2:$A$201,0)),'要件与标签'!$D$23:$D$29,0)&gt;MATCH(INDEX('任务登记'!$G$2:$G$201,MATCH(B62,'任务登记'!$A$2:$A$201,0)),'要件与标签'!$D$23:$D$29,0),"引用未来材料",IF(AND(G62="REVISE",L62=""),"修订缺新记录",IF(AND(G62="PENDING",Q62=""),"待核缺实质冲突",IF(AND(H62="不受影响",G62&lt;&gt;"KEEP"),"核对范围与处置","字段齐备")))))))))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10" t="str">
        <x:f>IF(COUNTA(A63:Q63)=0,"",IF(OR(A63="",B63="",C63="",D63="",E63="",F63="",G63="",H63="",I63="",J63="",K63="",M63="",N63="",O63="",P63=""),"缺必填",IF(COUNTIF($A$2:$A$201,A63)&gt;1,"ID重复",IF(COUNTIF('任务登记'!$A$2:$A$201,B63)&lt;&gt;1,"任务ID无效",IF(COUNTIF('材料'!$A$2:$A$201,D63)&lt;&gt;1,"材料ID无效",IF(INDEX('材料'!$B$2:$B$201,MATCH(D63,'材料'!$A$2:$A$201,0))&lt;&gt;INDEX('任务登记'!$B$2:$B$201,MATCH(B63,'任务登记'!$A$2:$A$201,0)),"材料与任务跨案",IF(ISERROR(SEARCH(";"&amp;D63&amp;";",";"&amp;INDEX('任务登记'!$H$2:$H$201,MATCH(B63,'任务登记'!$A$2:$A$201,0))&amp;";")),"材料不在可见清单",IF(COUNTIF('要件与标签'!$D$23:$D$29,INDEX('材料'!$H$2:$H$201,MATCH(D63,'材料'!$A$2:$A$201,0)))&lt;&gt;1,"材料阶段无效",IF(COUNTIF('要件与标签'!$D$23:$D$29,INDEX('任务登记'!$G$2:$G$201,MATCH(B63,'任务登记'!$A$2:$A$201,0)))&lt;&gt;1,"任务阶段无效",IF(MATCH(INDEX('材料'!$H$2:$H$201,MATCH(D63,'材料'!$A$2:$A$201,0)),'要件与标签'!$D$23:$D$29,0)&gt;MATCH(INDEX('任务登记'!$G$2:$G$201,MATCH(B63,'任务登记'!$A$2:$A$201,0)),'要件与标签'!$D$23:$D$29,0),"引用未来材料",IF(AND(G63="REVISE",L63=""),"修订缺新记录",IF(AND(G63="PENDING",Q63=""),"待核缺实质冲突",IF(AND(H63="不受影响",G63&lt;&gt;"KEEP"),"核对范围与处置","字段齐备")))))))))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10" t="str">
        <x:f>IF(COUNTA(A64:Q64)=0,"",IF(OR(A64="",B64="",C64="",D64="",E64="",F64="",G64="",H64="",I64="",J64="",K64="",M64="",N64="",O64="",P64=""),"缺必填",IF(COUNTIF($A$2:$A$201,A64)&gt;1,"ID重复",IF(COUNTIF('任务登记'!$A$2:$A$201,B64)&lt;&gt;1,"任务ID无效",IF(COUNTIF('材料'!$A$2:$A$201,D64)&lt;&gt;1,"材料ID无效",IF(INDEX('材料'!$B$2:$B$201,MATCH(D64,'材料'!$A$2:$A$201,0))&lt;&gt;INDEX('任务登记'!$B$2:$B$201,MATCH(B64,'任务登记'!$A$2:$A$201,0)),"材料与任务跨案",IF(ISERROR(SEARCH(";"&amp;D64&amp;";",";"&amp;INDEX('任务登记'!$H$2:$H$201,MATCH(B64,'任务登记'!$A$2:$A$201,0))&amp;";")),"材料不在可见清单",IF(COUNTIF('要件与标签'!$D$23:$D$29,INDEX('材料'!$H$2:$H$201,MATCH(D64,'材料'!$A$2:$A$201,0)))&lt;&gt;1,"材料阶段无效",IF(COUNTIF('要件与标签'!$D$23:$D$29,INDEX('任务登记'!$G$2:$G$201,MATCH(B64,'任务登记'!$A$2:$A$201,0)))&lt;&gt;1,"任务阶段无效",IF(MATCH(INDEX('材料'!$H$2:$H$201,MATCH(D64,'材料'!$A$2:$A$201,0)),'要件与标签'!$D$23:$D$29,0)&gt;MATCH(INDEX('任务登记'!$G$2:$G$201,MATCH(B64,'任务登记'!$A$2:$A$201,0)),'要件与标签'!$D$23:$D$29,0),"引用未来材料",IF(AND(G64="REVISE",L64=""),"修订缺新记录",IF(AND(G64="PENDING",Q64=""),"待核缺实质冲突",IF(AND(H64="不受影响",G64&lt;&gt;"KEEP"),"核对范围与处置","字段齐备")))))))))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10" t="str">
        <x:f>IF(COUNTA(A65:Q65)=0,"",IF(OR(A65="",B65="",C65="",D65="",E65="",F65="",G65="",H65="",I65="",J65="",K65="",M65="",N65="",O65="",P65=""),"缺必填",IF(COUNTIF($A$2:$A$201,A65)&gt;1,"ID重复",IF(COUNTIF('任务登记'!$A$2:$A$201,B65)&lt;&gt;1,"任务ID无效",IF(COUNTIF('材料'!$A$2:$A$201,D65)&lt;&gt;1,"材料ID无效",IF(INDEX('材料'!$B$2:$B$201,MATCH(D65,'材料'!$A$2:$A$201,0))&lt;&gt;INDEX('任务登记'!$B$2:$B$201,MATCH(B65,'任务登记'!$A$2:$A$201,0)),"材料与任务跨案",IF(ISERROR(SEARCH(";"&amp;D65&amp;";",";"&amp;INDEX('任务登记'!$H$2:$H$201,MATCH(B65,'任务登记'!$A$2:$A$201,0))&amp;";")),"材料不在可见清单",IF(COUNTIF('要件与标签'!$D$23:$D$29,INDEX('材料'!$H$2:$H$201,MATCH(D65,'材料'!$A$2:$A$201,0)))&lt;&gt;1,"材料阶段无效",IF(COUNTIF('要件与标签'!$D$23:$D$29,INDEX('任务登记'!$G$2:$G$201,MATCH(B65,'任务登记'!$A$2:$A$201,0)))&lt;&gt;1,"任务阶段无效",IF(MATCH(INDEX('材料'!$H$2:$H$201,MATCH(D65,'材料'!$A$2:$A$201,0)),'要件与标签'!$D$23:$D$29,0)&gt;MATCH(INDEX('任务登记'!$G$2:$G$201,MATCH(B65,'任务登记'!$A$2:$A$201,0)),'要件与标签'!$D$23:$D$29,0),"引用未来材料",IF(AND(G65="REVISE",L65=""),"修订缺新记录",IF(AND(G65="PENDING",Q65=""),"待核缺实质冲突",IF(AND(H65="不受影响",G65&lt;&gt;"KEEP"),"核对范围与处置","字段齐备")))))))))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10" t="str">
        <x:f>IF(COUNTA(A66:Q66)=0,"",IF(OR(A66="",B66="",C66="",D66="",E66="",F66="",G66="",H66="",I66="",J66="",K66="",M66="",N66="",O66="",P66=""),"缺必填",IF(COUNTIF($A$2:$A$201,A66)&gt;1,"ID重复",IF(COUNTIF('任务登记'!$A$2:$A$201,B66)&lt;&gt;1,"任务ID无效",IF(COUNTIF('材料'!$A$2:$A$201,D66)&lt;&gt;1,"材料ID无效",IF(INDEX('材料'!$B$2:$B$201,MATCH(D66,'材料'!$A$2:$A$201,0))&lt;&gt;INDEX('任务登记'!$B$2:$B$201,MATCH(B66,'任务登记'!$A$2:$A$201,0)),"材料与任务跨案",IF(ISERROR(SEARCH(";"&amp;D66&amp;";",";"&amp;INDEX('任务登记'!$H$2:$H$201,MATCH(B66,'任务登记'!$A$2:$A$201,0))&amp;";")),"材料不在可见清单",IF(COUNTIF('要件与标签'!$D$23:$D$29,INDEX('材料'!$H$2:$H$201,MATCH(D66,'材料'!$A$2:$A$201,0)))&lt;&gt;1,"材料阶段无效",IF(COUNTIF('要件与标签'!$D$23:$D$29,INDEX('任务登记'!$G$2:$G$201,MATCH(B66,'任务登记'!$A$2:$A$201,0)))&lt;&gt;1,"任务阶段无效",IF(MATCH(INDEX('材料'!$H$2:$H$201,MATCH(D66,'材料'!$A$2:$A$201,0)),'要件与标签'!$D$23:$D$29,0)&gt;MATCH(INDEX('任务登记'!$G$2:$G$201,MATCH(B66,'任务登记'!$A$2:$A$201,0)),'要件与标签'!$D$23:$D$29,0),"引用未来材料",IF(AND(G66="REVISE",L66=""),"修订缺新记录",IF(AND(G66="PENDING",Q66=""),"待核缺实质冲突",IF(AND(H66="不受影响",G66&lt;&gt;"KEEP"),"核对范围与处置","字段齐备")))))))))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10" t="str">
        <x:f>IF(COUNTA(A67:Q67)=0,"",IF(OR(A67="",B67="",C67="",D67="",E67="",F67="",G67="",H67="",I67="",J67="",K67="",M67="",N67="",O67="",P67=""),"缺必填",IF(COUNTIF($A$2:$A$201,A67)&gt;1,"ID重复",IF(COUNTIF('任务登记'!$A$2:$A$201,B67)&lt;&gt;1,"任务ID无效",IF(COUNTIF('材料'!$A$2:$A$201,D67)&lt;&gt;1,"材料ID无效",IF(INDEX('材料'!$B$2:$B$201,MATCH(D67,'材料'!$A$2:$A$201,0))&lt;&gt;INDEX('任务登记'!$B$2:$B$201,MATCH(B67,'任务登记'!$A$2:$A$201,0)),"材料与任务跨案",IF(ISERROR(SEARCH(";"&amp;D67&amp;";",";"&amp;INDEX('任务登记'!$H$2:$H$201,MATCH(B67,'任务登记'!$A$2:$A$201,0))&amp;";")),"材料不在可见清单",IF(COUNTIF('要件与标签'!$D$23:$D$29,INDEX('材料'!$H$2:$H$201,MATCH(D67,'材料'!$A$2:$A$201,0)))&lt;&gt;1,"材料阶段无效",IF(COUNTIF('要件与标签'!$D$23:$D$29,INDEX('任务登记'!$G$2:$G$201,MATCH(B67,'任务登记'!$A$2:$A$201,0)))&lt;&gt;1,"任务阶段无效",IF(MATCH(INDEX('材料'!$H$2:$H$201,MATCH(D67,'材料'!$A$2:$A$201,0)),'要件与标签'!$D$23:$D$29,0)&gt;MATCH(INDEX('任务登记'!$G$2:$G$201,MATCH(B67,'任务登记'!$A$2:$A$201,0)),'要件与标签'!$D$23:$D$29,0),"引用未来材料",IF(AND(G67="REVISE",L67=""),"修订缺新记录",IF(AND(G67="PENDING",Q67=""),"待核缺实质冲突",IF(AND(H67="不受影响",G67&lt;&gt;"KEEP"),"核对范围与处置","字段齐备")))))))))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10" t="str">
        <x:f>IF(COUNTA(A68:Q68)=0,"",IF(OR(A68="",B68="",C68="",D68="",E68="",F68="",G68="",H68="",I68="",J68="",K68="",M68="",N68="",O68="",P68=""),"缺必填",IF(COUNTIF($A$2:$A$201,A68)&gt;1,"ID重复",IF(COUNTIF('任务登记'!$A$2:$A$201,B68)&lt;&gt;1,"任务ID无效",IF(COUNTIF('材料'!$A$2:$A$201,D68)&lt;&gt;1,"材料ID无效",IF(INDEX('材料'!$B$2:$B$201,MATCH(D68,'材料'!$A$2:$A$201,0))&lt;&gt;INDEX('任务登记'!$B$2:$B$201,MATCH(B68,'任务登记'!$A$2:$A$201,0)),"材料与任务跨案",IF(ISERROR(SEARCH(";"&amp;D68&amp;";",";"&amp;INDEX('任务登记'!$H$2:$H$201,MATCH(B68,'任务登记'!$A$2:$A$201,0))&amp;";")),"材料不在可见清单",IF(COUNTIF('要件与标签'!$D$23:$D$29,INDEX('材料'!$H$2:$H$201,MATCH(D68,'材料'!$A$2:$A$201,0)))&lt;&gt;1,"材料阶段无效",IF(COUNTIF('要件与标签'!$D$23:$D$29,INDEX('任务登记'!$G$2:$G$201,MATCH(B68,'任务登记'!$A$2:$A$201,0)))&lt;&gt;1,"任务阶段无效",IF(MATCH(INDEX('材料'!$H$2:$H$201,MATCH(D68,'材料'!$A$2:$A$201,0)),'要件与标签'!$D$23:$D$29,0)&gt;MATCH(INDEX('任务登记'!$G$2:$G$201,MATCH(B68,'任务登记'!$A$2:$A$201,0)),'要件与标签'!$D$23:$D$29,0),"引用未来材料",IF(AND(G68="REVISE",L68=""),"修订缺新记录",IF(AND(G68="PENDING",Q68=""),"待核缺实质冲突",IF(AND(H68="不受影响",G68&lt;&gt;"KEEP"),"核对范围与处置","字段齐备")))))))))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10" t="str">
        <x:f>IF(COUNTA(A69:Q69)=0,"",IF(OR(A69="",B69="",C69="",D69="",E69="",F69="",G69="",H69="",I69="",J69="",K69="",M69="",N69="",O69="",P69=""),"缺必填",IF(COUNTIF($A$2:$A$201,A69)&gt;1,"ID重复",IF(COUNTIF('任务登记'!$A$2:$A$201,B69)&lt;&gt;1,"任务ID无效",IF(COUNTIF('材料'!$A$2:$A$201,D69)&lt;&gt;1,"材料ID无效",IF(INDEX('材料'!$B$2:$B$201,MATCH(D69,'材料'!$A$2:$A$201,0))&lt;&gt;INDEX('任务登记'!$B$2:$B$201,MATCH(B69,'任务登记'!$A$2:$A$201,0)),"材料与任务跨案",IF(ISERROR(SEARCH(";"&amp;D69&amp;";",";"&amp;INDEX('任务登记'!$H$2:$H$201,MATCH(B69,'任务登记'!$A$2:$A$201,0))&amp;";")),"材料不在可见清单",IF(COUNTIF('要件与标签'!$D$23:$D$29,INDEX('材料'!$H$2:$H$201,MATCH(D69,'材料'!$A$2:$A$201,0)))&lt;&gt;1,"材料阶段无效",IF(COUNTIF('要件与标签'!$D$23:$D$29,INDEX('任务登记'!$G$2:$G$201,MATCH(B69,'任务登记'!$A$2:$A$201,0)))&lt;&gt;1,"任务阶段无效",IF(MATCH(INDEX('材料'!$H$2:$H$201,MATCH(D69,'材料'!$A$2:$A$201,0)),'要件与标签'!$D$23:$D$29,0)&gt;MATCH(INDEX('任务登记'!$G$2:$G$201,MATCH(B69,'任务登记'!$A$2:$A$201,0)),'要件与标签'!$D$23:$D$29,0),"引用未来材料",IF(AND(G69="REVISE",L69=""),"修订缺新记录",IF(AND(G69="PENDING",Q69=""),"待核缺实质冲突",IF(AND(H69="不受影响",G69&lt;&gt;"KEEP"),"核对范围与处置","字段齐备")))))))))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10" t="str">
        <x:f>IF(COUNTA(A70:Q70)=0,"",IF(OR(A70="",B70="",C70="",D70="",E70="",F70="",G70="",H70="",I70="",J70="",K70="",M70="",N70="",O70="",P70=""),"缺必填",IF(COUNTIF($A$2:$A$201,A70)&gt;1,"ID重复",IF(COUNTIF('任务登记'!$A$2:$A$201,B70)&lt;&gt;1,"任务ID无效",IF(COUNTIF('材料'!$A$2:$A$201,D70)&lt;&gt;1,"材料ID无效",IF(INDEX('材料'!$B$2:$B$201,MATCH(D70,'材料'!$A$2:$A$201,0))&lt;&gt;INDEX('任务登记'!$B$2:$B$201,MATCH(B70,'任务登记'!$A$2:$A$201,0)),"材料与任务跨案",IF(ISERROR(SEARCH(";"&amp;D70&amp;";",";"&amp;INDEX('任务登记'!$H$2:$H$201,MATCH(B70,'任务登记'!$A$2:$A$201,0))&amp;";")),"材料不在可见清单",IF(COUNTIF('要件与标签'!$D$23:$D$29,INDEX('材料'!$H$2:$H$201,MATCH(D70,'材料'!$A$2:$A$201,0)))&lt;&gt;1,"材料阶段无效",IF(COUNTIF('要件与标签'!$D$23:$D$29,INDEX('任务登记'!$G$2:$G$201,MATCH(B70,'任务登记'!$A$2:$A$201,0)))&lt;&gt;1,"任务阶段无效",IF(MATCH(INDEX('材料'!$H$2:$H$201,MATCH(D70,'材料'!$A$2:$A$201,0)),'要件与标签'!$D$23:$D$29,0)&gt;MATCH(INDEX('任务登记'!$G$2:$G$201,MATCH(B70,'任务登记'!$A$2:$A$201,0)),'要件与标签'!$D$23:$D$29,0),"引用未来材料",IF(AND(G70="REVISE",L70=""),"修订缺新记录",IF(AND(G70="PENDING",Q70=""),"待核缺实质冲突",IF(AND(H70="不受影响",G70&lt;&gt;"KEEP"),"核对范围与处置","字段齐备")))))))))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10" t="str">
        <x:f>IF(COUNTA(A71:Q71)=0,"",IF(OR(A71="",B71="",C71="",D71="",E71="",F71="",G71="",H71="",I71="",J71="",K71="",M71="",N71="",O71="",P71=""),"缺必填",IF(COUNTIF($A$2:$A$201,A71)&gt;1,"ID重复",IF(COUNTIF('任务登记'!$A$2:$A$201,B71)&lt;&gt;1,"任务ID无效",IF(COUNTIF('材料'!$A$2:$A$201,D71)&lt;&gt;1,"材料ID无效",IF(INDEX('材料'!$B$2:$B$201,MATCH(D71,'材料'!$A$2:$A$201,0))&lt;&gt;INDEX('任务登记'!$B$2:$B$201,MATCH(B71,'任务登记'!$A$2:$A$201,0)),"材料与任务跨案",IF(ISERROR(SEARCH(";"&amp;D71&amp;";",";"&amp;INDEX('任务登记'!$H$2:$H$201,MATCH(B71,'任务登记'!$A$2:$A$201,0))&amp;";")),"材料不在可见清单",IF(COUNTIF('要件与标签'!$D$23:$D$29,INDEX('材料'!$H$2:$H$201,MATCH(D71,'材料'!$A$2:$A$201,0)))&lt;&gt;1,"材料阶段无效",IF(COUNTIF('要件与标签'!$D$23:$D$29,INDEX('任务登记'!$G$2:$G$201,MATCH(B71,'任务登记'!$A$2:$A$201,0)))&lt;&gt;1,"任务阶段无效",IF(MATCH(INDEX('材料'!$H$2:$H$201,MATCH(D71,'材料'!$A$2:$A$201,0)),'要件与标签'!$D$23:$D$29,0)&gt;MATCH(INDEX('任务登记'!$G$2:$G$201,MATCH(B71,'任务登记'!$A$2:$A$201,0)),'要件与标签'!$D$23:$D$29,0),"引用未来材料",IF(AND(G71="REVISE",L71=""),"修订缺新记录",IF(AND(G71="PENDING",Q71=""),"待核缺实质冲突",IF(AND(H71="不受影响",G71&lt;&gt;"KEEP"),"核对范围与处置","字段齐备")))))))))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10" t="str">
        <x:f>IF(COUNTA(A72:Q72)=0,"",IF(OR(A72="",B72="",C72="",D72="",E72="",F72="",G72="",H72="",I72="",J72="",K72="",M72="",N72="",O72="",P72=""),"缺必填",IF(COUNTIF($A$2:$A$201,A72)&gt;1,"ID重复",IF(COUNTIF('任务登记'!$A$2:$A$201,B72)&lt;&gt;1,"任务ID无效",IF(COUNTIF('材料'!$A$2:$A$201,D72)&lt;&gt;1,"材料ID无效",IF(INDEX('材料'!$B$2:$B$201,MATCH(D72,'材料'!$A$2:$A$201,0))&lt;&gt;INDEX('任务登记'!$B$2:$B$201,MATCH(B72,'任务登记'!$A$2:$A$201,0)),"材料与任务跨案",IF(ISERROR(SEARCH(";"&amp;D72&amp;";",";"&amp;INDEX('任务登记'!$H$2:$H$201,MATCH(B72,'任务登记'!$A$2:$A$201,0))&amp;";")),"材料不在可见清单",IF(COUNTIF('要件与标签'!$D$23:$D$29,INDEX('材料'!$H$2:$H$201,MATCH(D72,'材料'!$A$2:$A$201,0)))&lt;&gt;1,"材料阶段无效",IF(COUNTIF('要件与标签'!$D$23:$D$29,INDEX('任务登记'!$G$2:$G$201,MATCH(B72,'任务登记'!$A$2:$A$201,0)))&lt;&gt;1,"任务阶段无效",IF(MATCH(INDEX('材料'!$H$2:$H$201,MATCH(D72,'材料'!$A$2:$A$201,0)),'要件与标签'!$D$23:$D$29,0)&gt;MATCH(INDEX('任务登记'!$G$2:$G$201,MATCH(B72,'任务登记'!$A$2:$A$201,0)),'要件与标签'!$D$23:$D$29,0),"引用未来材料",IF(AND(G72="REVISE",L72=""),"修订缺新记录",IF(AND(G72="PENDING",Q72=""),"待核缺实质冲突",IF(AND(H72="不受影响",G72&lt;&gt;"KEEP"),"核对范围与处置","字段齐备")))))))))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10" t="str">
        <x:f>IF(COUNTA(A73:Q73)=0,"",IF(OR(A73="",B73="",C73="",D73="",E73="",F73="",G73="",H73="",I73="",J73="",K73="",M73="",N73="",O73="",P73=""),"缺必填",IF(COUNTIF($A$2:$A$201,A73)&gt;1,"ID重复",IF(COUNTIF('任务登记'!$A$2:$A$201,B73)&lt;&gt;1,"任务ID无效",IF(COUNTIF('材料'!$A$2:$A$201,D73)&lt;&gt;1,"材料ID无效",IF(INDEX('材料'!$B$2:$B$201,MATCH(D73,'材料'!$A$2:$A$201,0))&lt;&gt;INDEX('任务登记'!$B$2:$B$201,MATCH(B73,'任务登记'!$A$2:$A$201,0)),"材料与任务跨案",IF(ISERROR(SEARCH(";"&amp;D73&amp;";",";"&amp;INDEX('任务登记'!$H$2:$H$201,MATCH(B73,'任务登记'!$A$2:$A$201,0))&amp;";")),"材料不在可见清单",IF(COUNTIF('要件与标签'!$D$23:$D$29,INDEX('材料'!$H$2:$H$201,MATCH(D73,'材料'!$A$2:$A$201,0)))&lt;&gt;1,"材料阶段无效",IF(COUNTIF('要件与标签'!$D$23:$D$29,INDEX('任务登记'!$G$2:$G$201,MATCH(B73,'任务登记'!$A$2:$A$201,0)))&lt;&gt;1,"任务阶段无效",IF(MATCH(INDEX('材料'!$H$2:$H$201,MATCH(D73,'材料'!$A$2:$A$201,0)),'要件与标签'!$D$23:$D$29,0)&gt;MATCH(INDEX('任务登记'!$G$2:$G$201,MATCH(B73,'任务登记'!$A$2:$A$201,0)),'要件与标签'!$D$23:$D$29,0),"引用未来材料",IF(AND(G73="REVISE",L73=""),"修订缺新记录",IF(AND(G73="PENDING",Q73=""),"待核缺实质冲突",IF(AND(H73="不受影响",G73&lt;&gt;"KEEP"),"核对范围与处置","字段齐备")))))))))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10" t="str">
        <x:f>IF(COUNTA(A74:Q74)=0,"",IF(OR(A74="",B74="",C74="",D74="",E74="",F74="",G74="",H74="",I74="",J74="",K74="",M74="",N74="",O74="",P74=""),"缺必填",IF(COUNTIF($A$2:$A$201,A74)&gt;1,"ID重复",IF(COUNTIF('任务登记'!$A$2:$A$201,B74)&lt;&gt;1,"任务ID无效",IF(COUNTIF('材料'!$A$2:$A$201,D74)&lt;&gt;1,"材料ID无效",IF(INDEX('材料'!$B$2:$B$201,MATCH(D74,'材料'!$A$2:$A$201,0))&lt;&gt;INDEX('任务登记'!$B$2:$B$201,MATCH(B74,'任务登记'!$A$2:$A$201,0)),"材料与任务跨案",IF(ISERROR(SEARCH(";"&amp;D74&amp;";",";"&amp;INDEX('任务登记'!$H$2:$H$201,MATCH(B74,'任务登记'!$A$2:$A$201,0))&amp;";")),"材料不在可见清单",IF(COUNTIF('要件与标签'!$D$23:$D$29,INDEX('材料'!$H$2:$H$201,MATCH(D74,'材料'!$A$2:$A$201,0)))&lt;&gt;1,"材料阶段无效",IF(COUNTIF('要件与标签'!$D$23:$D$29,INDEX('任务登记'!$G$2:$G$201,MATCH(B74,'任务登记'!$A$2:$A$201,0)))&lt;&gt;1,"任务阶段无效",IF(MATCH(INDEX('材料'!$H$2:$H$201,MATCH(D74,'材料'!$A$2:$A$201,0)),'要件与标签'!$D$23:$D$29,0)&gt;MATCH(INDEX('任务登记'!$G$2:$G$201,MATCH(B74,'任务登记'!$A$2:$A$201,0)),'要件与标签'!$D$23:$D$29,0),"引用未来材料",IF(AND(G74="REVISE",L74=""),"修订缺新记录",IF(AND(G74="PENDING",Q74=""),"待核缺实质冲突",IF(AND(H74="不受影响",G74&lt;&gt;"KEEP"),"核对范围与处置","字段齐备")))))))))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10" t="str">
        <x:f>IF(COUNTA(A75:Q75)=0,"",IF(OR(A75="",B75="",C75="",D75="",E75="",F75="",G75="",H75="",I75="",J75="",K75="",M75="",N75="",O75="",P75=""),"缺必填",IF(COUNTIF($A$2:$A$201,A75)&gt;1,"ID重复",IF(COUNTIF('任务登记'!$A$2:$A$201,B75)&lt;&gt;1,"任务ID无效",IF(COUNTIF('材料'!$A$2:$A$201,D75)&lt;&gt;1,"材料ID无效",IF(INDEX('材料'!$B$2:$B$201,MATCH(D75,'材料'!$A$2:$A$201,0))&lt;&gt;INDEX('任务登记'!$B$2:$B$201,MATCH(B75,'任务登记'!$A$2:$A$201,0)),"材料与任务跨案",IF(ISERROR(SEARCH(";"&amp;D75&amp;";",";"&amp;INDEX('任务登记'!$H$2:$H$201,MATCH(B75,'任务登记'!$A$2:$A$201,0))&amp;";")),"材料不在可见清单",IF(COUNTIF('要件与标签'!$D$23:$D$29,INDEX('材料'!$H$2:$H$201,MATCH(D75,'材料'!$A$2:$A$201,0)))&lt;&gt;1,"材料阶段无效",IF(COUNTIF('要件与标签'!$D$23:$D$29,INDEX('任务登记'!$G$2:$G$201,MATCH(B75,'任务登记'!$A$2:$A$201,0)))&lt;&gt;1,"任务阶段无效",IF(MATCH(INDEX('材料'!$H$2:$H$201,MATCH(D75,'材料'!$A$2:$A$201,0)),'要件与标签'!$D$23:$D$29,0)&gt;MATCH(INDEX('任务登记'!$G$2:$G$201,MATCH(B75,'任务登记'!$A$2:$A$201,0)),'要件与标签'!$D$23:$D$29,0),"引用未来材料",IF(AND(G75="REVISE",L75=""),"修订缺新记录",IF(AND(G75="PENDING",Q75=""),"待核缺实质冲突",IF(AND(H75="不受影响",G75&lt;&gt;"KEEP"),"核对范围与处置","字段齐备")))))))))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10" t="str">
        <x:f>IF(COUNTA(A76:Q76)=0,"",IF(OR(A76="",B76="",C76="",D76="",E76="",F76="",G76="",H76="",I76="",J76="",K76="",M76="",N76="",O76="",P76=""),"缺必填",IF(COUNTIF($A$2:$A$201,A76)&gt;1,"ID重复",IF(COUNTIF('任务登记'!$A$2:$A$201,B76)&lt;&gt;1,"任务ID无效",IF(COUNTIF('材料'!$A$2:$A$201,D76)&lt;&gt;1,"材料ID无效",IF(INDEX('材料'!$B$2:$B$201,MATCH(D76,'材料'!$A$2:$A$201,0))&lt;&gt;INDEX('任务登记'!$B$2:$B$201,MATCH(B76,'任务登记'!$A$2:$A$201,0)),"材料与任务跨案",IF(ISERROR(SEARCH(";"&amp;D76&amp;";",";"&amp;INDEX('任务登记'!$H$2:$H$201,MATCH(B76,'任务登记'!$A$2:$A$201,0))&amp;";")),"材料不在可见清单",IF(COUNTIF('要件与标签'!$D$23:$D$29,INDEX('材料'!$H$2:$H$201,MATCH(D76,'材料'!$A$2:$A$201,0)))&lt;&gt;1,"材料阶段无效",IF(COUNTIF('要件与标签'!$D$23:$D$29,INDEX('任务登记'!$G$2:$G$201,MATCH(B76,'任务登记'!$A$2:$A$201,0)))&lt;&gt;1,"任务阶段无效",IF(MATCH(INDEX('材料'!$H$2:$H$201,MATCH(D76,'材料'!$A$2:$A$201,0)),'要件与标签'!$D$23:$D$29,0)&gt;MATCH(INDEX('任务登记'!$G$2:$G$201,MATCH(B76,'任务登记'!$A$2:$A$201,0)),'要件与标签'!$D$23:$D$29,0),"引用未来材料",IF(AND(G76="REVISE",L76=""),"修订缺新记录",IF(AND(G76="PENDING",Q76=""),"待核缺实质冲突",IF(AND(H76="不受影响",G76&lt;&gt;"KEEP"),"核对范围与处置","字段齐备")))))))))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10" t="str">
        <x:f>IF(COUNTA(A77:Q77)=0,"",IF(OR(A77="",B77="",C77="",D77="",E77="",F77="",G77="",H77="",I77="",J77="",K77="",M77="",N77="",O77="",P77=""),"缺必填",IF(COUNTIF($A$2:$A$201,A77)&gt;1,"ID重复",IF(COUNTIF('任务登记'!$A$2:$A$201,B77)&lt;&gt;1,"任务ID无效",IF(COUNTIF('材料'!$A$2:$A$201,D77)&lt;&gt;1,"材料ID无效",IF(INDEX('材料'!$B$2:$B$201,MATCH(D77,'材料'!$A$2:$A$201,0))&lt;&gt;INDEX('任务登记'!$B$2:$B$201,MATCH(B77,'任务登记'!$A$2:$A$201,0)),"材料与任务跨案",IF(ISERROR(SEARCH(";"&amp;D77&amp;";",";"&amp;INDEX('任务登记'!$H$2:$H$201,MATCH(B77,'任务登记'!$A$2:$A$201,0))&amp;";")),"材料不在可见清单",IF(COUNTIF('要件与标签'!$D$23:$D$29,INDEX('材料'!$H$2:$H$201,MATCH(D77,'材料'!$A$2:$A$201,0)))&lt;&gt;1,"材料阶段无效",IF(COUNTIF('要件与标签'!$D$23:$D$29,INDEX('任务登记'!$G$2:$G$201,MATCH(B77,'任务登记'!$A$2:$A$201,0)))&lt;&gt;1,"任务阶段无效",IF(MATCH(INDEX('材料'!$H$2:$H$201,MATCH(D77,'材料'!$A$2:$A$201,0)),'要件与标签'!$D$23:$D$29,0)&gt;MATCH(INDEX('任务登记'!$G$2:$G$201,MATCH(B77,'任务登记'!$A$2:$A$201,0)),'要件与标签'!$D$23:$D$29,0),"引用未来材料",IF(AND(G77="REVISE",L77=""),"修订缺新记录",IF(AND(G77="PENDING",Q77=""),"待核缺实质冲突",IF(AND(H77="不受影响",G77&lt;&gt;"KEEP"),"核对范围与处置","字段齐备")))))))))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10" t="str">
        <x:f>IF(COUNTA(A78:Q78)=0,"",IF(OR(A78="",B78="",C78="",D78="",E78="",F78="",G78="",H78="",I78="",J78="",K78="",M78="",N78="",O78="",P78=""),"缺必填",IF(COUNTIF($A$2:$A$201,A78)&gt;1,"ID重复",IF(COUNTIF('任务登记'!$A$2:$A$201,B78)&lt;&gt;1,"任务ID无效",IF(COUNTIF('材料'!$A$2:$A$201,D78)&lt;&gt;1,"材料ID无效",IF(INDEX('材料'!$B$2:$B$201,MATCH(D78,'材料'!$A$2:$A$201,0))&lt;&gt;INDEX('任务登记'!$B$2:$B$201,MATCH(B78,'任务登记'!$A$2:$A$201,0)),"材料与任务跨案",IF(ISERROR(SEARCH(";"&amp;D78&amp;";",";"&amp;INDEX('任务登记'!$H$2:$H$201,MATCH(B78,'任务登记'!$A$2:$A$201,0))&amp;";")),"材料不在可见清单",IF(COUNTIF('要件与标签'!$D$23:$D$29,INDEX('材料'!$H$2:$H$201,MATCH(D78,'材料'!$A$2:$A$201,0)))&lt;&gt;1,"材料阶段无效",IF(COUNTIF('要件与标签'!$D$23:$D$29,INDEX('任务登记'!$G$2:$G$201,MATCH(B78,'任务登记'!$A$2:$A$201,0)))&lt;&gt;1,"任务阶段无效",IF(MATCH(INDEX('材料'!$H$2:$H$201,MATCH(D78,'材料'!$A$2:$A$201,0)),'要件与标签'!$D$23:$D$29,0)&gt;MATCH(INDEX('任务登记'!$G$2:$G$201,MATCH(B78,'任务登记'!$A$2:$A$201,0)),'要件与标签'!$D$23:$D$29,0),"引用未来材料",IF(AND(G78="REVISE",L78=""),"修订缺新记录",IF(AND(G78="PENDING",Q78=""),"待核缺实质冲突",IF(AND(H78="不受影响",G78&lt;&gt;"KEEP"),"核对范围与处置","字段齐备")))))))))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10" t="str">
        <x:f>IF(COUNTA(A79:Q79)=0,"",IF(OR(A79="",B79="",C79="",D79="",E79="",F79="",G79="",H79="",I79="",J79="",K79="",M79="",N79="",O79="",P79=""),"缺必填",IF(COUNTIF($A$2:$A$201,A79)&gt;1,"ID重复",IF(COUNTIF('任务登记'!$A$2:$A$201,B79)&lt;&gt;1,"任务ID无效",IF(COUNTIF('材料'!$A$2:$A$201,D79)&lt;&gt;1,"材料ID无效",IF(INDEX('材料'!$B$2:$B$201,MATCH(D79,'材料'!$A$2:$A$201,0))&lt;&gt;INDEX('任务登记'!$B$2:$B$201,MATCH(B79,'任务登记'!$A$2:$A$201,0)),"材料与任务跨案",IF(ISERROR(SEARCH(";"&amp;D79&amp;";",";"&amp;INDEX('任务登记'!$H$2:$H$201,MATCH(B79,'任务登记'!$A$2:$A$201,0))&amp;";")),"材料不在可见清单",IF(COUNTIF('要件与标签'!$D$23:$D$29,INDEX('材料'!$H$2:$H$201,MATCH(D79,'材料'!$A$2:$A$201,0)))&lt;&gt;1,"材料阶段无效",IF(COUNTIF('要件与标签'!$D$23:$D$29,INDEX('任务登记'!$G$2:$G$201,MATCH(B79,'任务登记'!$A$2:$A$201,0)))&lt;&gt;1,"任务阶段无效",IF(MATCH(INDEX('材料'!$H$2:$H$201,MATCH(D79,'材料'!$A$2:$A$201,0)),'要件与标签'!$D$23:$D$29,0)&gt;MATCH(INDEX('任务登记'!$G$2:$G$201,MATCH(B79,'任务登记'!$A$2:$A$201,0)),'要件与标签'!$D$23:$D$29,0),"引用未来材料",IF(AND(G79="REVISE",L79=""),"修订缺新记录",IF(AND(G79="PENDING",Q79=""),"待核缺实质冲突",IF(AND(H79="不受影响",G79&lt;&gt;"KEEP"),"核对范围与处置","字段齐备")))))))))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10" t="str">
        <x:f>IF(COUNTA(A80:Q80)=0,"",IF(OR(A80="",B80="",C80="",D80="",E80="",F80="",G80="",H80="",I80="",J80="",K80="",M80="",N80="",O80="",P80=""),"缺必填",IF(COUNTIF($A$2:$A$201,A80)&gt;1,"ID重复",IF(COUNTIF('任务登记'!$A$2:$A$201,B80)&lt;&gt;1,"任务ID无效",IF(COUNTIF('材料'!$A$2:$A$201,D80)&lt;&gt;1,"材料ID无效",IF(INDEX('材料'!$B$2:$B$201,MATCH(D80,'材料'!$A$2:$A$201,0))&lt;&gt;INDEX('任务登记'!$B$2:$B$201,MATCH(B80,'任务登记'!$A$2:$A$201,0)),"材料与任务跨案",IF(ISERROR(SEARCH(";"&amp;D80&amp;";",";"&amp;INDEX('任务登记'!$H$2:$H$201,MATCH(B80,'任务登记'!$A$2:$A$201,0))&amp;";")),"材料不在可见清单",IF(COUNTIF('要件与标签'!$D$23:$D$29,INDEX('材料'!$H$2:$H$201,MATCH(D80,'材料'!$A$2:$A$201,0)))&lt;&gt;1,"材料阶段无效",IF(COUNTIF('要件与标签'!$D$23:$D$29,INDEX('任务登记'!$G$2:$G$201,MATCH(B80,'任务登记'!$A$2:$A$201,0)))&lt;&gt;1,"任务阶段无效",IF(MATCH(INDEX('材料'!$H$2:$H$201,MATCH(D80,'材料'!$A$2:$A$201,0)),'要件与标签'!$D$23:$D$29,0)&gt;MATCH(INDEX('任务登记'!$G$2:$G$201,MATCH(B80,'任务登记'!$A$2:$A$201,0)),'要件与标签'!$D$23:$D$29,0),"引用未来材料",IF(AND(G80="REVISE",L80=""),"修订缺新记录",IF(AND(G80="PENDING",Q80=""),"待核缺实质冲突",IF(AND(H80="不受影响",G80&lt;&gt;"KEEP"),"核对范围与处置","字段齐备")))))))))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10" t="str">
        <x:f>IF(COUNTA(A81:Q81)=0,"",IF(OR(A81="",B81="",C81="",D81="",E81="",F81="",G81="",H81="",I81="",J81="",K81="",M81="",N81="",O81="",P81=""),"缺必填",IF(COUNTIF($A$2:$A$201,A81)&gt;1,"ID重复",IF(COUNTIF('任务登记'!$A$2:$A$201,B81)&lt;&gt;1,"任务ID无效",IF(COUNTIF('材料'!$A$2:$A$201,D81)&lt;&gt;1,"材料ID无效",IF(INDEX('材料'!$B$2:$B$201,MATCH(D81,'材料'!$A$2:$A$201,0))&lt;&gt;INDEX('任务登记'!$B$2:$B$201,MATCH(B81,'任务登记'!$A$2:$A$201,0)),"材料与任务跨案",IF(ISERROR(SEARCH(";"&amp;D81&amp;";",";"&amp;INDEX('任务登记'!$H$2:$H$201,MATCH(B81,'任务登记'!$A$2:$A$201,0))&amp;";")),"材料不在可见清单",IF(COUNTIF('要件与标签'!$D$23:$D$29,INDEX('材料'!$H$2:$H$201,MATCH(D81,'材料'!$A$2:$A$201,0)))&lt;&gt;1,"材料阶段无效",IF(COUNTIF('要件与标签'!$D$23:$D$29,INDEX('任务登记'!$G$2:$G$201,MATCH(B81,'任务登记'!$A$2:$A$201,0)))&lt;&gt;1,"任务阶段无效",IF(MATCH(INDEX('材料'!$H$2:$H$201,MATCH(D81,'材料'!$A$2:$A$201,0)),'要件与标签'!$D$23:$D$29,0)&gt;MATCH(INDEX('任务登记'!$G$2:$G$201,MATCH(B81,'任务登记'!$A$2:$A$201,0)),'要件与标签'!$D$23:$D$29,0),"引用未来材料",IF(AND(G81="REVISE",L81=""),"修订缺新记录",IF(AND(G81="PENDING",Q81=""),"待核缺实质冲突",IF(AND(H81="不受影响",G81&lt;&gt;"KEEP"),"核对范围与处置","字段齐备")))))))))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10" t="str">
        <x:f>IF(COUNTA(A82:Q82)=0,"",IF(OR(A82="",B82="",C82="",D82="",E82="",F82="",G82="",H82="",I82="",J82="",K82="",M82="",N82="",O82="",P82=""),"缺必填",IF(COUNTIF($A$2:$A$201,A82)&gt;1,"ID重复",IF(COUNTIF('任务登记'!$A$2:$A$201,B82)&lt;&gt;1,"任务ID无效",IF(COUNTIF('材料'!$A$2:$A$201,D82)&lt;&gt;1,"材料ID无效",IF(INDEX('材料'!$B$2:$B$201,MATCH(D82,'材料'!$A$2:$A$201,0))&lt;&gt;INDEX('任务登记'!$B$2:$B$201,MATCH(B82,'任务登记'!$A$2:$A$201,0)),"材料与任务跨案",IF(ISERROR(SEARCH(";"&amp;D82&amp;";",";"&amp;INDEX('任务登记'!$H$2:$H$201,MATCH(B82,'任务登记'!$A$2:$A$201,0))&amp;";")),"材料不在可见清单",IF(COUNTIF('要件与标签'!$D$23:$D$29,INDEX('材料'!$H$2:$H$201,MATCH(D82,'材料'!$A$2:$A$201,0)))&lt;&gt;1,"材料阶段无效",IF(COUNTIF('要件与标签'!$D$23:$D$29,INDEX('任务登记'!$G$2:$G$201,MATCH(B82,'任务登记'!$A$2:$A$201,0)))&lt;&gt;1,"任务阶段无效",IF(MATCH(INDEX('材料'!$H$2:$H$201,MATCH(D82,'材料'!$A$2:$A$201,0)),'要件与标签'!$D$23:$D$29,0)&gt;MATCH(INDEX('任务登记'!$G$2:$G$201,MATCH(B82,'任务登记'!$A$2:$A$201,0)),'要件与标签'!$D$23:$D$29,0),"引用未来材料",IF(AND(G82="REVISE",L82=""),"修订缺新记录",IF(AND(G82="PENDING",Q82=""),"待核缺实质冲突",IF(AND(H82="不受影响",G82&lt;&gt;"KEEP"),"核对范围与处置","字段齐备")))))))))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10" t="str">
        <x:f>IF(COUNTA(A83:Q83)=0,"",IF(OR(A83="",B83="",C83="",D83="",E83="",F83="",G83="",H83="",I83="",J83="",K83="",M83="",N83="",O83="",P83=""),"缺必填",IF(COUNTIF($A$2:$A$201,A83)&gt;1,"ID重复",IF(COUNTIF('任务登记'!$A$2:$A$201,B83)&lt;&gt;1,"任务ID无效",IF(COUNTIF('材料'!$A$2:$A$201,D83)&lt;&gt;1,"材料ID无效",IF(INDEX('材料'!$B$2:$B$201,MATCH(D83,'材料'!$A$2:$A$201,0))&lt;&gt;INDEX('任务登记'!$B$2:$B$201,MATCH(B83,'任务登记'!$A$2:$A$201,0)),"材料与任务跨案",IF(ISERROR(SEARCH(";"&amp;D83&amp;";",";"&amp;INDEX('任务登记'!$H$2:$H$201,MATCH(B83,'任务登记'!$A$2:$A$201,0))&amp;";")),"材料不在可见清单",IF(COUNTIF('要件与标签'!$D$23:$D$29,INDEX('材料'!$H$2:$H$201,MATCH(D83,'材料'!$A$2:$A$201,0)))&lt;&gt;1,"材料阶段无效",IF(COUNTIF('要件与标签'!$D$23:$D$29,INDEX('任务登记'!$G$2:$G$201,MATCH(B83,'任务登记'!$A$2:$A$201,0)))&lt;&gt;1,"任务阶段无效",IF(MATCH(INDEX('材料'!$H$2:$H$201,MATCH(D83,'材料'!$A$2:$A$201,0)),'要件与标签'!$D$23:$D$29,0)&gt;MATCH(INDEX('任务登记'!$G$2:$G$201,MATCH(B83,'任务登记'!$A$2:$A$201,0)),'要件与标签'!$D$23:$D$29,0),"引用未来材料",IF(AND(G83="REVISE",L83=""),"修订缺新记录",IF(AND(G83="PENDING",Q83=""),"待核缺实质冲突",IF(AND(H83="不受影响",G83&lt;&gt;"KEEP"),"核对范围与处置","字段齐备")))))))))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10" t="str">
        <x:f>IF(COUNTA(A84:Q84)=0,"",IF(OR(A84="",B84="",C84="",D84="",E84="",F84="",G84="",H84="",I84="",J84="",K84="",M84="",N84="",O84="",P84=""),"缺必填",IF(COUNTIF($A$2:$A$201,A84)&gt;1,"ID重复",IF(COUNTIF('任务登记'!$A$2:$A$201,B84)&lt;&gt;1,"任务ID无效",IF(COUNTIF('材料'!$A$2:$A$201,D84)&lt;&gt;1,"材料ID无效",IF(INDEX('材料'!$B$2:$B$201,MATCH(D84,'材料'!$A$2:$A$201,0))&lt;&gt;INDEX('任务登记'!$B$2:$B$201,MATCH(B84,'任务登记'!$A$2:$A$201,0)),"材料与任务跨案",IF(ISERROR(SEARCH(";"&amp;D84&amp;";",";"&amp;INDEX('任务登记'!$H$2:$H$201,MATCH(B84,'任务登记'!$A$2:$A$201,0))&amp;";")),"材料不在可见清单",IF(COUNTIF('要件与标签'!$D$23:$D$29,INDEX('材料'!$H$2:$H$201,MATCH(D84,'材料'!$A$2:$A$201,0)))&lt;&gt;1,"材料阶段无效",IF(COUNTIF('要件与标签'!$D$23:$D$29,INDEX('任务登记'!$G$2:$G$201,MATCH(B84,'任务登记'!$A$2:$A$201,0)))&lt;&gt;1,"任务阶段无效",IF(MATCH(INDEX('材料'!$H$2:$H$201,MATCH(D84,'材料'!$A$2:$A$201,0)),'要件与标签'!$D$23:$D$29,0)&gt;MATCH(INDEX('任务登记'!$G$2:$G$201,MATCH(B84,'任务登记'!$A$2:$A$201,0)),'要件与标签'!$D$23:$D$29,0),"引用未来材料",IF(AND(G84="REVISE",L84=""),"修订缺新记录",IF(AND(G84="PENDING",Q84=""),"待核缺实质冲突",IF(AND(H84="不受影响",G84&lt;&gt;"KEEP"),"核对范围与处置","字段齐备")))))))))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10" t="str">
        <x:f>IF(COUNTA(A85:Q85)=0,"",IF(OR(A85="",B85="",C85="",D85="",E85="",F85="",G85="",H85="",I85="",J85="",K85="",M85="",N85="",O85="",P85=""),"缺必填",IF(COUNTIF($A$2:$A$201,A85)&gt;1,"ID重复",IF(COUNTIF('任务登记'!$A$2:$A$201,B85)&lt;&gt;1,"任务ID无效",IF(COUNTIF('材料'!$A$2:$A$201,D85)&lt;&gt;1,"材料ID无效",IF(INDEX('材料'!$B$2:$B$201,MATCH(D85,'材料'!$A$2:$A$201,0))&lt;&gt;INDEX('任务登记'!$B$2:$B$201,MATCH(B85,'任务登记'!$A$2:$A$201,0)),"材料与任务跨案",IF(ISERROR(SEARCH(";"&amp;D85&amp;";",";"&amp;INDEX('任务登记'!$H$2:$H$201,MATCH(B85,'任务登记'!$A$2:$A$201,0))&amp;";")),"材料不在可见清单",IF(COUNTIF('要件与标签'!$D$23:$D$29,INDEX('材料'!$H$2:$H$201,MATCH(D85,'材料'!$A$2:$A$201,0)))&lt;&gt;1,"材料阶段无效",IF(COUNTIF('要件与标签'!$D$23:$D$29,INDEX('任务登记'!$G$2:$G$201,MATCH(B85,'任务登记'!$A$2:$A$201,0)))&lt;&gt;1,"任务阶段无效",IF(MATCH(INDEX('材料'!$H$2:$H$201,MATCH(D85,'材料'!$A$2:$A$201,0)),'要件与标签'!$D$23:$D$29,0)&gt;MATCH(INDEX('任务登记'!$G$2:$G$201,MATCH(B85,'任务登记'!$A$2:$A$201,0)),'要件与标签'!$D$23:$D$29,0),"引用未来材料",IF(AND(G85="REVISE",L85=""),"修订缺新记录",IF(AND(G85="PENDING",Q85=""),"待核缺实质冲突",IF(AND(H85="不受影响",G85&lt;&gt;"KEEP"),"核对范围与处置","字段齐备")))))))))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10" t="str">
        <x:f>IF(COUNTA(A86:Q86)=0,"",IF(OR(A86="",B86="",C86="",D86="",E86="",F86="",G86="",H86="",I86="",J86="",K86="",M86="",N86="",O86="",P86=""),"缺必填",IF(COUNTIF($A$2:$A$201,A86)&gt;1,"ID重复",IF(COUNTIF('任务登记'!$A$2:$A$201,B86)&lt;&gt;1,"任务ID无效",IF(COUNTIF('材料'!$A$2:$A$201,D86)&lt;&gt;1,"材料ID无效",IF(INDEX('材料'!$B$2:$B$201,MATCH(D86,'材料'!$A$2:$A$201,0))&lt;&gt;INDEX('任务登记'!$B$2:$B$201,MATCH(B86,'任务登记'!$A$2:$A$201,0)),"材料与任务跨案",IF(ISERROR(SEARCH(";"&amp;D86&amp;";",";"&amp;INDEX('任务登记'!$H$2:$H$201,MATCH(B86,'任务登记'!$A$2:$A$201,0))&amp;";")),"材料不在可见清单",IF(COUNTIF('要件与标签'!$D$23:$D$29,INDEX('材料'!$H$2:$H$201,MATCH(D86,'材料'!$A$2:$A$201,0)))&lt;&gt;1,"材料阶段无效",IF(COUNTIF('要件与标签'!$D$23:$D$29,INDEX('任务登记'!$G$2:$G$201,MATCH(B86,'任务登记'!$A$2:$A$201,0)))&lt;&gt;1,"任务阶段无效",IF(MATCH(INDEX('材料'!$H$2:$H$201,MATCH(D86,'材料'!$A$2:$A$201,0)),'要件与标签'!$D$23:$D$29,0)&gt;MATCH(INDEX('任务登记'!$G$2:$G$201,MATCH(B86,'任务登记'!$A$2:$A$201,0)),'要件与标签'!$D$23:$D$29,0),"引用未来材料",IF(AND(G86="REVISE",L86=""),"修订缺新记录",IF(AND(G86="PENDING",Q86=""),"待核缺实质冲突",IF(AND(H86="不受影响",G86&lt;&gt;"KEEP"),"核对范围与处置","字段齐备")))))))))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10" t="str">
        <x:f>IF(COUNTA(A87:Q87)=0,"",IF(OR(A87="",B87="",C87="",D87="",E87="",F87="",G87="",H87="",I87="",J87="",K87="",M87="",N87="",O87="",P87=""),"缺必填",IF(COUNTIF($A$2:$A$201,A87)&gt;1,"ID重复",IF(COUNTIF('任务登记'!$A$2:$A$201,B87)&lt;&gt;1,"任务ID无效",IF(COUNTIF('材料'!$A$2:$A$201,D87)&lt;&gt;1,"材料ID无效",IF(INDEX('材料'!$B$2:$B$201,MATCH(D87,'材料'!$A$2:$A$201,0))&lt;&gt;INDEX('任务登记'!$B$2:$B$201,MATCH(B87,'任务登记'!$A$2:$A$201,0)),"材料与任务跨案",IF(ISERROR(SEARCH(";"&amp;D87&amp;";",";"&amp;INDEX('任务登记'!$H$2:$H$201,MATCH(B87,'任务登记'!$A$2:$A$201,0))&amp;";")),"材料不在可见清单",IF(COUNTIF('要件与标签'!$D$23:$D$29,INDEX('材料'!$H$2:$H$201,MATCH(D87,'材料'!$A$2:$A$201,0)))&lt;&gt;1,"材料阶段无效",IF(COUNTIF('要件与标签'!$D$23:$D$29,INDEX('任务登记'!$G$2:$G$201,MATCH(B87,'任务登记'!$A$2:$A$201,0)))&lt;&gt;1,"任务阶段无效",IF(MATCH(INDEX('材料'!$H$2:$H$201,MATCH(D87,'材料'!$A$2:$A$201,0)),'要件与标签'!$D$23:$D$29,0)&gt;MATCH(INDEX('任务登记'!$G$2:$G$201,MATCH(B87,'任务登记'!$A$2:$A$201,0)),'要件与标签'!$D$23:$D$29,0),"引用未来材料",IF(AND(G87="REVISE",L87=""),"修订缺新记录",IF(AND(G87="PENDING",Q87=""),"待核缺实质冲突",IF(AND(H87="不受影响",G87&lt;&gt;"KEEP"),"核对范围与处置","字段齐备")))))))))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10" t="str">
        <x:f>IF(COUNTA(A88:Q88)=0,"",IF(OR(A88="",B88="",C88="",D88="",E88="",F88="",G88="",H88="",I88="",J88="",K88="",M88="",N88="",O88="",P88=""),"缺必填",IF(COUNTIF($A$2:$A$201,A88)&gt;1,"ID重复",IF(COUNTIF('任务登记'!$A$2:$A$201,B88)&lt;&gt;1,"任务ID无效",IF(COUNTIF('材料'!$A$2:$A$201,D88)&lt;&gt;1,"材料ID无效",IF(INDEX('材料'!$B$2:$B$201,MATCH(D88,'材料'!$A$2:$A$201,0))&lt;&gt;INDEX('任务登记'!$B$2:$B$201,MATCH(B88,'任务登记'!$A$2:$A$201,0)),"材料与任务跨案",IF(ISERROR(SEARCH(";"&amp;D88&amp;";",";"&amp;INDEX('任务登记'!$H$2:$H$201,MATCH(B88,'任务登记'!$A$2:$A$201,0))&amp;";")),"材料不在可见清单",IF(COUNTIF('要件与标签'!$D$23:$D$29,INDEX('材料'!$H$2:$H$201,MATCH(D88,'材料'!$A$2:$A$201,0)))&lt;&gt;1,"材料阶段无效",IF(COUNTIF('要件与标签'!$D$23:$D$29,INDEX('任务登记'!$G$2:$G$201,MATCH(B88,'任务登记'!$A$2:$A$201,0)))&lt;&gt;1,"任务阶段无效",IF(MATCH(INDEX('材料'!$H$2:$H$201,MATCH(D88,'材料'!$A$2:$A$201,0)),'要件与标签'!$D$23:$D$29,0)&gt;MATCH(INDEX('任务登记'!$G$2:$G$201,MATCH(B88,'任务登记'!$A$2:$A$201,0)),'要件与标签'!$D$23:$D$29,0),"引用未来材料",IF(AND(G88="REVISE",L88=""),"修订缺新记录",IF(AND(G88="PENDING",Q88=""),"待核缺实质冲突",IF(AND(H88="不受影响",G88&lt;&gt;"KEEP"),"核对范围与处置","字段齐备")))))))))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10" t="str">
        <x:f>IF(COUNTA(A89:Q89)=0,"",IF(OR(A89="",B89="",C89="",D89="",E89="",F89="",G89="",H89="",I89="",J89="",K89="",M89="",N89="",O89="",P89=""),"缺必填",IF(COUNTIF($A$2:$A$201,A89)&gt;1,"ID重复",IF(COUNTIF('任务登记'!$A$2:$A$201,B89)&lt;&gt;1,"任务ID无效",IF(COUNTIF('材料'!$A$2:$A$201,D89)&lt;&gt;1,"材料ID无效",IF(INDEX('材料'!$B$2:$B$201,MATCH(D89,'材料'!$A$2:$A$201,0))&lt;&gt;INDEX('任务登记'!$B$2:$B$201,MATCH(B89,'任务登记'!$A$2:$A$201,0)),"材料与任务跨案",IF(ISERROR(SEARCH(";"&amp;D89&amp;";",";"&amp;INDEX('任务登记'!$H$2:$H$201,MATCH(B89,'任务登记'!$A$2:$A$201,0))&amp;";")),"材料不在可见清单",IF(COUNTIF('要件与标签'!$D$23:$D$29,INDEX('材料'!$H$2:$H$201,MATCH(D89,'材料'!$A$2:$A$201,0)))&lt;&gt;1,"材料阶段无效",IF(COUNTIF('要件与标签'!$D$23:$D$29,INDEX('任务登记'!$G$2:$G$201,MATCH(B89,'任务登记'!$A$2:$A$201,0)))&lt;&gt;1,"任务阶段无效",IF(MATCH(INDEX('材料'!$H$2:$H$201,MATCH(D89,'材料'!$A$2:$A$201,0)),'要件与标签'!$D$23:$D$29,0)&gt;MATCH(INDEX('任务登记'!$G$2:$G$201,MATCH(B89,'任务登记'!$A$2:$A$201,0)),'要件与标签'!$D$23:$D$29,0),"引用未来材料",IF(AND(G89="REVISE",L89=""),"修订缺新记录",IF(AND(G89="PENDING",Q89=""),"待核缺实质冲突",IF(AND(H89="不受影响",G89&lt;&gt;"KEEP"),"核对范围与处置","字段齐备")))))))))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10" t="str">
        <x:f>IF(COUNTA(A90:Q90)=0,"",IF(OR(A90="",B90="",C90="",D90="",E90="",F90="",G90="",H90="",I90="",J90="",K90="",M90="",N90="",O90="",P90=""),"缺必填",IF(COUNTIF($A$2:$A$201,A90)&gt;1,"ID重复",IF(COUNTIF('任务登记'!$A$2:$A$201,B90)&lt;&gt;1,"任务ID无效",IF(COUNTIF('材料'!$A$2:$A$201,D90)&lt;&gt;1,"材料ID无效",IF(INDEX('材料'!$B$2:$B$201,MATCH(D90,'材料'!$A$2:$A$201,0))&lt;&gt;INDEX('任务登记'!$B$2:$B$201,MATCH(B90,'任务登记'!$A$2:$A$201,0)),"材料与任务跨案",IF(ISERROR(SEARCH(";"&amp;D90&amp;";",";"&amp;INDEX('任务登记'!$H$2:$H$201,MATCH(B90,'任务登记'!$A$2:$A$201,0))&amp;";")),"材料不在可见清单",IF(COUNTIF('要件与标签'!$D$23:$D$29,INDEX('材料'!$H$2:$H$201,MATCH(D90,'材料'!$A$2:$A$201,0)))&lt;&gt;1,"材料阶段无效",IF(COUNTIF('要件与标签'!$D$23:$D$29,INDEX('任务登记'!$G$2:$G$201,MATCH(B90,'任务登记'!$A$2:$A$201,0)))&lt;&gt;1,"任务阶段无效",IF(MATCH(INDEX('材料'!$H$2:$H$201,MATCH(D90,'材料'!$A$2:$A$201,0)),'要件与标签'!$D$23:$D$29,0)&gt;MATCH(INDEX('任务登记'!$G$2:$G$201,MATCH(B90,'任务登记'!$A$2:$A$201,0)),'要件与标签'!$D$23:$D$29,0),"引用未来材料",IF(AND(G90="REVISE",L90=""),"修订缺新记录",IF(AND(G90="PENDING",Q90=""),"待核缺实质冲突",IF(AND(H90="不受影响",G90&lt;&gt;"KEEP"),"核对范围与处置","字段齐备")))))))))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10" t="str">
        <x:f>IF(COUNTA(A91:Q91)=0,"",IF(OR(A91="",B91="",C91="",D91="",E91="",F91="",G91="",H91="",I91="",J91="",K91="",M91="",N91="",O91="",P91=""),"缺必填",IF(COUNTIF($A$2:$A$201,A91)&gt;1,"ID重复",IF(COUNTIF('任务登记'!$A$2:$A$201,B91)&lt;&gt;1,"任务ID无效",IF(COUNTIF('材料'!$A$2:$A$201,D91)&lt;&gt;1,"材料ID无效",IF(INDEX('材料'!$B$2:$B$201,MATCH(D91,'材料'!$A$2:$A$201,0))&lt;&gt;INDEX('任务登记'!$B$2:$B$201,MATCH(B91,'任务登记'!$A$2:$A$201,0)),"材料与任务跨案",IF(ISERROR(SEARCH(";"&amp;D91&amp;";",";"&amp;INDEX('任务登记'!$H$2:$H$201,MATCH(B91,'任务登记'!$A$2:$A$201,0))&amp;";")),"材料不在可见清单",IF(COUNTIF('要件与标签'!$D$23:$D$29,INDEX('材料'!$H$2:$H$201,MATCH(D91,'材料'!$A$2:$A$201,0)))&lt;&gt;1,"材料阶段无效",IF(COUNTIF('要件与标签'!$D$23:$D$29,INDEX('任务登记'!$G$2:$G$201,MATCH(B91,'任务登记'!$A$2:$A$201,0)))&lt;&gt;1,"任务阶段无效",IF(MATCH(INDEX('材料'!$H$2:$H$201,MATCH(D91,'材料'!$A$2:$A$201,0)),'要件与标签'!$D$23:$D$29,0)&gt;MATCH(INDEX('任务登记'!$G$2:$G$201,MATCH(B91,'任务登记'!$A$2:$A$201,0)),'要件与标签'!$D$23:$D$29,0),"引用未来材料",IF(AND(G91="REVISE",L91=""),"修订缺新记录",IF(AND(G91="PENDING",Q91=""),"待核缺实质冲突",IF(AND(H91="不受影响",G91&lt;&gt;"KEEP"),"核对范围与处置","字段齐备")))))))))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10" t="str">
        <x:f>IF(COUNTA(A92:Q92)=0,"",IF(OR(A92="",B92="",C92="",D92="",E92="",F92="",G92="",H92="",I92="",J92="",K92="",M92="",N92="",O92="",P92=""),"缺必填",IF(COUNTIF($A$2:$A$201,A92)&gt;1,"ID重复",IF(COUNTIF('任务登记'!$A$2:$A$201,B92)&lt;&gt;1,"任务ID无效",IF(COUNTIF('材料'!$A$2:$A$201,D92)&lt;&gt;1,"材料ID无效",IF(INDEX('材料'!$B$2:$B$201,MATCH(D92,'材料'!$A$2:$A$201,0))&lt;&gt;INDEX('任务登记'!$B$2:$B$201,MATCH(B92,'任务登记'!$A$2:$A$201,0)),"材料与任务跨案",IF(ISERROR(SEARCH(";"&amp;D92&amp;";",";"&amp;INDEX('任务登记'!$H$2:$H$201,MATCH(B92,'任务登记'!$A$2:$A$201,0))&amp;";")),"材料不在可见清单",IF(COUNTIF('要件与标签'!$D$23:$D$29,INDEX('材料'!$H$2:$H$201,MATCH(D92,'材料'!$A$2:$A$201,0)))&lt;&gt;1,"材料阶段无效",IF(COUNTIF('要件与标签'!$D$23:$D$29,INDEX('任务登记'!$G$2:$G$201,MATCH(B92,'任务登记'!$A$2:$A$201,0)))&lt;&gt;1,"任务阶段无效",IF(MATCH(INDEX('材料'!$H$2:$H$201,MATCH(D92,'材料'!$A$2:$A$201,0)),'要件与标签'!$D$23:$D$29,0)&gt;MATCH(INDEX('任务登记'!$G$2:$G$201,MATCH(B92,'任务登记'!$A$2:$A$201,0)),'要件与标签'!$D$23:$D$29,0),"引用未来材料",IF(AND(G92="REVISE",L92=""),"修订缺新记录",IF(AND(G92="PENDING",Q92=""),"待核缺实质冲突",IF(AND(H92="不受影响",G92&lt;&gt;"KEEP"),"核对范围与处置","字段齐备")))))))))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10" t="str">
        <x:f>IF(COUNTA(A93:Q93)=0,"",IF(OR(A93="",B93="",C93="",D93="",E93="",F93="",G93="",H93="",I93="",J93="",K93="",M93="",N93="",O93="",P93=""),"缺必填",IF(COUNTIF($A$2:$A$201,A93)&gt;1,"ID重复",IF(COUNTIF('任务登记'!$A$2:$A$201,B93)&lt;&gt;1,"任务ID无效",IF(COUNTIF('材料'!$A$2:$A$201,D93)&lt;&gt;1,"材料ID无效",IF(INDEX('材料'!$B$2:$B$201,MATCH(D93,'材料'!$A$2:$A$201,0))&lt;&gt;INDEX('任务登记'!$B$2:$B$201,MATCH(B93,'任务登记'!$A$2:$A$201,0)),"材料与任务跨案",IF(ISERROR(SEARCH(";"&amp;D93&amp;";",";"&amp;INDEX('任务登记'!$H$2:$H$201,MATCH(B93,'任务登记'!$A$2:$A$201,0))&amp;";")),"材料不在可见清单",IF(COUNTIF('要件与标签'!$D$23:$D$29,INDEX('材料'!$H$2:$H$201,MATCH(D93,'材料'!$A$2:$A$201,0)))&lt;&gt;1,"材料阶段无效",IF(COUNTIF('要件与标签'!$D$23:$D$29,INDEX('任务登记'!$G$2:$G$201,MATCH(B93,'任务登记'!$A$2:$A$201,0)))&lt;&gt;1,"任务阶段无效",IF(MATCH(INDEX('材料'!$H$2:$H$201,MATCH(D93,'材料'!$A$2:$A$201,0)),'要件与标签'!$D$23:$D$29,0)&gt;MATCH(INDEX('任务登记'!$G$2:$G$201,MATCH(B93,'任务登记'!$A$2:$A$201,0)),'要件与标签'!$D$23:$D$29,0),"引用未来材料",IF(AND(G93="REVISE",L93=""),"修订缺新记录",IF(AND(G93="PENDING",Q93=""),"待核缺实质冲突",IF(AND(H93="不受影响",G93&lt;&gt;"KEEP"),"核对范围与处置","字段齐备")))))))))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10" t="str">
        <x:f>IF(COUNTA(A94:Q94)=0,"",IF(OR(A94="",B94="",C94="",D94="",E94="",F94="",G94="",H94="",I94="",J94="",K94="",M94="",N94="",O94="",P94=""),"缺必填",IF(COUNTIF($A$2:$A$201,A94)&gt;1,"ID重复",IF(COUNTIF('任务登记'!$A$2:$A$201,B94)&lt;&gt;1,"任务ID无效",IF(COUNTIF('材料'!$A$2:$A$201,D94)&lt;&gt;1,"材料ID无效",IF(INDEX('材料'!$B$2:$B$201,MATCH(D94,'材料'!$A$2:$A$201,0))&lt;&gt;INDEX('任务登记'!$B$2:$B$201,MATCH(B94,'任务登记'!$A$2:$A$201,0)),"材料与任务跨案",IF(ISERROR(SEARCH(";"&amp;D94&amp;";",";"&amp;INDEX('任务登记'!$H$2:$H$201,MATCH(B94,'任务登记'!$A$2:$A$201,0))&amp;";")),"材料不在可见清单",IF(COUNTIF('要件与标签'!$D$23:$D$29,INDEX('材料'!$H$2:$H$201,MATCH(D94,'材料'!$A$2:$A$201,0)))&lt;&gt;1,"材料阶段无效",IF(COUNTIF('要件与标签'!$D$23:$D$29,INDEX('任务登记'!$G$2:$G$201,MATCH(B94,'任务登记'!$A$2:$A$201,0)))&lt;&gt;1,"任务阶段无效",IF(MATCH(INDEX('材料'!$H$2:$H$201,MATCH(D94,'材料'!$A$2:$A$201,0)),'要件与标签'!$D$23:$D$29,0)&gt;MATCH(INDEX('任务登记'!$G$2:$G$201,MATCH(B94,'任务登记'!$A$2:$A$201,0)),'要件与标签'!$D$23:$D$29,0),"引用未来材料",IF(AND(G94="REVISE",L94=""),"修订缺新记录",IF(AND(G94="PENDING",Q94=""),"待核缺实质冲突",IF(AND(H94="不受影响",G94&lt;&gt;"KEEP"),"核对范围与处置","字段齐备")))))))))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10" t="str">
        <x:f>IF(COUNTA(A95:Q95)=0,"",IF(OR(A95="",B95="",C95="",D95="",E95="",F95="",G95="",H95="",I95="",J95="",K95="",M95="",N95="",O95="",P95=""),"缺必填",IF(COUNTIF($A$2:$A$201,A95)&gt;1,"ID重复",IF(COUNTIF('任务登记'!$A$2:$A$201,B95)&lt;&gt;1,"任务ID无效",IF(COUNTIF('材料'!$A$2:$A$201,D95)&lt;&gt;1,"材料ID无效",IF(INDEX('材料'!$B$2:$B$201,MATCH(D95,'材料'!$A$2:$A$201,0))&lt;&gt;INDEX('任务登记'!$B$2:$B$201,MATCH(B95,'任务登记'!$A$2:$A$201,0)),"材料与任务跨案",IF(ISERROR(SEARCH(";"&amp;D95&amp;";",";"&amp;INDEX('任务登记'!$H$2:$H$201,MATCH(B95,'任务登记'!$A$2:$A$201,0))&amp;";")),"材料不在可见清单",IF(COUNTIF('要件与标签'!$D$23:$D$29,INDEX('材料'!$H$2:$H$201,MATCH(D95,'材料'!$A$2:$A$201,0)))&lt;&gt;1,"材料阶段无效",IF(COUNTIF('要件与标签'!$D$23:$D$29,INDEX('任务登记'!$G$2:$G$201,MATCH(B95,'任务登记'!$A$2:$A$201,0)))&lt;&gt;1,"任务阶段无效",IF(MATCH(INDEX('材料'!$H$2:$H$201,MATCH(D95,'材料'!$A$2:$A$201,0)),'要件与标签'!$D$23:$D$29,0)&gt;MATCH(INDEX('任务登记'!$G$2:$G$201,MATCH(B95,'任务登记'!$A$2:$A$201,0)),'要件与标签'!$D$23:$D$29,0),"引用未来材料",IF(AND(G95="REVISE",L95=""),"修订缺新记录",IF(AND(G95="PENDING",Q95=""),"待核缺实质冲突",IF(AND(H95="不受影响",G95&lt;&gt;"KEEP"),"核对范围与处置","字段齐备")))))))))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10" t="str">
        <x:f>IF(COUNTA(A96:Q96)=0,"",IF(OR(A96="",B96="",C96="",D96="",E96="",F96="",G96="",H96="",I96="",J96="",K96="",M96="",N96="",O96="",P96=""),"缺必填",IF(COUNTIF($A$2:$A$201,A96)&gt;1,"ID重复",IF(COUNTIF('任务登记'!$A$2:$A$201,B96)&lt;&gt;1,"任务ID无效",IF(COUNTIF('材料'!$A$2:$A$201,D96)&lt;&gt;1,"材料ID无效",IF(INDEX('材料'!$B$2:$B$201,MATCH(D96,'材料'!$A$2:$A$201,0))&lt;&gt;INDEX('任务登记'!$B$2:$B$201,MATCH(B96,'任务登记'!$A$2:$A$201,0)),"材料与任务跨案",IF(ISERROR(SEARCH(";"&amp;D96&amp;";",";"&amp;INDEX('任务登记'!$H$2:$H$201,MATCH(B96,'任务登记'!$A$2:$A$201,0))&amp;";")),"材料不在可见清单",IF(COUNTIF('要件与标签'!$D$23:$D$29,INDEX('材料'!$H$2:$H$201,MATCH(D96,'材料'!$A$2:$A$201,0)))&lt;&gt;1,"材料阶段无效",IF(COUNTIF('要件与标签'!$D$23:$D$29,INDEX('任务登记'!$G$2:$G$201,MATCH(B96,'任务登记'!$A$2:$A$201,0)))&lt;&gt;1,"任务阶段无效",IF(MATCH(INDEX('材料'!$H$2:$H$201,MATCH(D96,'材料'!$A$2:$A$201,0)),'要件与标签'!$D$23:$D$29,0)&gt;MATCH(INDEX('任务登记'!$G$2:$G$201,MATCH(B96,'任务登记'!$A$2:$A$201,0)),'要件与标签'!$D$23:$D$29,0),"引用未来材料",IF(AND(G96="REVISE",L96=""),"修订缺新记录",IF(AND(G96="PENDING",Q96=""),"待核缺实质冲突",IF(AND(H96="不受影响",G96&lt;&gt;"KEEP"),"核对范围与处置","字段齐备")))))))))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10" t="str">
        <x:f>IF(COUNTA(A97:Q97)=0,"",IF(OR(A97="",B97="",C97="",D97="",E97="",F97="",G97="",H97="",I97="",J97="",K97="",M97="",N97="",O97="",P97=""),"缺必填",IF(COUNTIF($A$2:$A$201,A97)&gt;1,"ID重复",IF(COUNTIF('任务登记'!$A$2:$A$201,B97)&lt;&gt;1,"任务ID无效",IF(COUNTIF('材料'!$A$2:$A$201,D97)&lt;&gt;1,"材料ID无效",IF(INDEX('材料'!$B$2:$B$201,MATCH(D97,'材料'!$A$2:$A$201,0))&lt;&gt;INDEX('任务登记'!$B$2:$B$201,MATCH(B97,'任务登记'!$A$2:$A$201,0)),"材料与任务跨案",IF(ISERROR(SEARCH(";"&amp;D97&amp;";",";"&amp;INDEX('任务登记'!$H$2:$H$201,MATCH(B97,'任务登记'!$A$2:$A$201,0))&amp;";")),"材料不在可见清单",IF(COUNTIF('要件与标签'!$D$23:$D$29,INDEX('材料'!$H$2:$H$201,MATCH(D97,'材料'!$A$2:$A$201,0)))&lt;&gt;1,"材料阶段无效",IF(COUNTIF('要件与标签'!$D$23:$D$29,INDEX('任务登记'!$G$2:$G$201,MATCH(B97,'任务登记'!$A$2:$A$201,0)))&lt;&gt;1,"任务阶段无效",IF(MATCH(INDEX('材料'!$H$2:$H$201,MATCH(D97,'材料'!$A$2:$A$201,0)),'要件与标签'!$D$23:$D$29,0)&gt;MATCH(INDEX('任务登记'!$G$2:$G$201,MATCH(B97,'任务登记'!$A$2:$A$201,0)),'要件与标签'!$D$23:$D$29,0),"引用未来材料",IF(AND(G97="REVISE",L97=""),"修订缺新记录",IF(AND(G97="PENDING",Q97=""),"待核缺实质冲突",IF(AND(H97="不受影响",G97&lt;&gt;"KEEP"),"核对范围与处置","字段齐备")))))))))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10" t="str">
        <x:f>IF(COUNTA(A98:Q98)=0,"",IF(OR(A98="",B98="",C98="",D98="",E98="",F98="",G98="",H98="",I98="",J98="",K98="",M98="",N98="",O98="",P98=""),"缺必填",IF(COUNTIF($A$2:$A$201,A98)&gt;1,"ID重复",IF(COUNTIF('任务登记'!$A$2:$A$201,B98)&lt;&gt;1,"任务ID无效",IF(COUNTIF('材料'!$A$2:$A$201,D98)&lt;&gt;1,"材料ID无效",IF(INDEX('材料'!$B$2:$B$201,MATCH(D98,'材料'!$A$2:$A$201,0))&lt;&gt;INDEX('任务登记'!$B$2:$B$201,MATCH(B98,'任务登记'!$A$2:$A$201,0)),"材料与任务跨案",IF(ISERROR(SEARCH(";"&amp;D98&amp;";",";"&amp;INDEX('任务登记'!$H$2:$H$201,MATCH(B98,'任务登记'!$A$2:$A$201,0))&amp;";")),"材料不在可见清单",IF(COUNTIF('要件与标签'!$D$23:$D$29,INDEX('材料'!$H$2:$H$201,MATCH(D98,'材料'!$A$2:$A$201,0)))&lt;&gt;1,"材料阶段无效",IF(COUNTIF('要件与标签'!$D$23:$D$29,INDEX('任务登记'!$G$2:$G$201,MATCH(B98,'任务登记'!$A$2:$A$201,0)))&lt;&gt;1,"任务阶段无效",IF(MATCH(INDEX('材料'!$H$2:$H$201,MATCH(D98,'材料'!$A$2:$A$201,0)),'要件与标签'!$D$23:$D$29,0)&gt;MATCH(INDEX('任务登记'!$G$2:$G$201,MATCH(B98,'任务登记'!$A$2:$A$201,0)),'要件与标签'!$D$23:$D$29,0),"引用未来材料",IF(AND(G98="REVISE",L98=""),"修订缺新记录",IF(AND(G98="PENDING",Q98=""),"待核缺实质冲突",IF(AND(H98="不受影响",G98&lt;&gt;"KEEP"),"核对范围与处置","字段齐备")))))))))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10" t="str">
        <x:f>IF(COUNTA(A99:Q99)=0,"",IF(OR(A99="",B99="",C99="",D99="",E99="",F99="",G99="",H99="",I99="",J99="",K99="",M99="",N99="",O99="",P99=""),"缺必填",IF(COUNTIF($A$2:$A$201,A99)&gt;1,"ID重复",IF(COUNTIF('任务登记'!$A$2:$A$201,B99)&lt;&gt;1,"任务ID无效",IF(COUNTIF('材料'!$A$2:$A$201,D99)&lt;&gt;1,"材料ID无效",IF(INDEX('材料'!$B$2:$B$201,MATCH(D99,'材料'!$A$2:$A$201,0))&lt;&gt;INDEX('任务登记'!$B$2:$B$201,MATCH(B99,'任务登记'!$A$2:$A$201,0)),"材料与任务跨案",IF(ISERROR(SEARCH(";"&amp;D99&amp;";",";"&amp;INDEX('任务登记'!$H$2:$H$201,MATCH(B99,'任务登记'!$A$2:$A$201,0))&amp;";")),"材料不在可见清单",IF(COUNTIF('要件与标签'!$D$23:$D$29,INDEX('材料'!$H$2:$H$201,MATCH(D99,'材料'!$A$2:$A$201,0)))&lt;&gt;1,"材料阶段无效",IF(COUNTIF('要件与标签'!$D$23:$D$29,INDEX('任务登记'!$G$2:$G$201,MATCH(B99,'任务登记'!$A$2:$A$201,0)))&lt;&gt;1,"任务阶段无效",IF(MATCH(INDEX('材料'!$H$2:$H$201,MATCH(D99,'材料'!$A$2:$A$201,0)),'要件与标签'!$D$23:$D$29,0)&gt;MATCH(INDEX('任务登记'!$G$2:$G$201,MATCH(B99,'任务登记'!$A$2:$A$201,0)),'要件与标签'!$D$23:$D$29,0),"引用未来材料",IF(AND(G99="REVISE",L99=""),"修订缺新记录",IF(AND(G99="PENDING",Q99=""),"待核缺实质冲突",IF(AND(H99="不受影响",G99&lt;&gt;"KEEP"),"核对范围与处置","字段齐备")))))))))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10" t="str">
        <x:f>IF(COUNTA(A100:Q100)=0,"",IF(OR(A100="",B100="",C100="",D100="",E100="",F100="",G100="",H100="",I100="",J100="",K100="",M100="",N100="",O100="",P100=""),"缺必填",IF(COUNTIF($A$2:$A$201,A100)&gt;1,"ID重复",IF(COUNTIF('任务登记'!$A$2:$A$201,B100)&lt;&gt;1,"任务ID无效",IF(COUNTIF('材料'!$A$2:$A$201,D100)&lt;&gt;1,"材料ID无效",IF(INDEX('材料'!$B$2:$B$201,MATCH(D100,'材料'!$A$2:$A$201,0))&lt;&gt;INDEX('任务登记'!$B$2:$B$201,MATCH(B100,'任务登记'!$A$2:$A$201,0)),"材料与任务跨案",IF(ISERROR(SEARCH(";"&amp;D100&amp;";",";"&amp;INDEX('任务登记'!$H$2:$H$201,MATCH(B100,'任务登记'!$A$2:$A$201,0))&amp;";")),"材料不在可见清单",IF(COUNTIF('要件与标签'!$D$23:$D$29,INDEX('材料'!$H$2:$H$201,MATCH(D100,'材料'!$A$2:$A$201,0)))&lt;&gt;1,"材料阶段无效",IF(COUNTIF('要件与标签'!$D$23:$D$29,INDEX('任务登记'!$G$2:$G$201,MATCH(B100,'任务登记'!$A$2:$A$201,0)))&lt;&gt;1,"任务阶段无效",IF(MATCH(INDEX('材料'!$H$2:$H$201,MATCH(D100,'材料'!$A$2:$A$201,0)),'要件与标签'!$D$23:$D$29,0)&gt;MATCH(INDEX('任务登记'!$G$2:$G$201,MATCH(B100,'任务登记'!$A$2:$A$201,0)),'要件与标签'!$D$23:$D$29,0),"引用未来材料",IF(AND(G100="REVISE",L100=""),"修订缺新记录",IF(AND(G100="PENDING",Q100=""),"待核缺实质冲突",IF(AND(H100="不受影响",G100&lt;&gt;"KEEP"),"核对范围与处置","字段齐备")))))))))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10" t="str">
        <x:f>IF(COUNTA(A101:Q101)=0,"",IF(OR(A101="",B101="",C101="",D101="",E101="",F101="",G101="",H101="",I101="",J101="",K101="",M101="",N101="",O101="",P101=""),"缺必填",IF(COUNTIF($A$2:$A$201,A101)&gt;1,"ID重复",IF(COUNTIF('任务登记'!$A$2:$A$201,B101)&lt;&gt;1,"任务ID无效",IF(COUNTIF('材料'!$A$2:$A$201,D101)&lt;&gt;1,"材料ID无效",IF(INDEX('材料'!$B$2:$B$201,MATCH(D101,'材料'!$A$2:$A$201,0))&lt;&gt;INDEX('任务登记'!$B$2:$B$201,MATCH(B101,'任务登记'!$A$2:$A$201,0)),"材料与任务跨案",IF(ISERROR(SEARCH(";"&amp;D101&amp;";",";"&amp;INDEX('任务登记'!$H$2:$H$201,MATCH(B101,'任务登记'!$A$2:$A$201,0))&amp;";")),"材料不在可见清单",IF(COUNTIF('要件与标签'!$D$23:$D$29,INDEX('材料'!$H$2:$H$201,MATCH(D101,'材料'!$A$2:$A$201,0)))&lt;&gt;1,"材料阶段无效",IF(COUNTIF('要件与标签'!$D$23:$D$29,INDEX('任务登记'!$G$2:$G$201,MATCH(B101,'任务登记'!$A$2:$A$201,0)))&lt;&gt;1,"任务阶段无效",IF(MATCH(INDEX('材料'!$H$2:$H$201,MATCH(D101,'材料'!$A$2:$A$201,0)),'要件与标签'!$D$23:$D$29,0)&gt;MATCH(INDEX('任务登记'!$G$2:$G$201,MATCH(B101,'任务登记'!$A$2:$A$201,0)),'要件与标签'!$D$23:$D$29,0),"引用未来材料",IF(AND(G101="REVISE",L101=""),"修订缺新记录",IF(AND(G101="PENDING",Q101=""),"待核缺实质冲突",IF(AND(H101="不受影响",G101&lt;&gt;"KEEP"),"核对范围与处置","字段齐备")))))))))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10" t="str">
        <x:f>IF(COUNTA(A102:Q102)=0,"",IF(OR(A102="",B102="",C102="",D102="",E102="",F102="",G102="",H102="",I102="",J102="",K102="",M102="",N102="",O102="",P102=""),"缺必填",IF(COUNTIF($A$2:$A$201,A102)&gt;1,"ID重复",IF(COUNTIF('任务登记'!$A$2:$A$201,B102)&lt;&gt;1,"任务ID无效",IF(COUNTIF('材料'!$A$2:$A$201,D102)&lt;&gt;1,"材料ID无效",IF(INDEX('材料'!$B$2:$B$201,MATCH(D102,'材料'!$A$2:$A$201,0))&lt;&gt;INDEX('任务登记'!$B$2:$B$201,MATCH(B102,'任务登记'!$A$2:$A$201,0)),"材料与任务跨案",IF(ISERROR(SEARCH(";"&amp;D102&amp;";",";"&amp;INDEX('任务登记'!$H$2:$H$201,MATCH(B102,'任务登记'!$A$2:$A$201,0))&amp;";")),"材料不在可见清单",IF(COUNTIF('要件与标签'!$D$23:$D$29,INDEX('材料'!$H$2:$H$201,MATCH(D102,'材料'!$A$2:$A$201,0)))&lt;&gt;1,"材料阶段无效",IF(COUNTIF('要件与标签'!$D$23:$D$29,INDEX('任务登记'!$G$2:$G$201,MATCH(B102,'任务登记'!$A$2:$A$201,0)))&lt;&gt;1,"任务阶段无效",IF(MATCH(INDEX('材料'!$H$2:$H$201,MATCH(D102,'材料'!$A$2:$A$201,0)),'要件与标签'!$D$23:$D$29,0)&gt;MATCH(INDEX('任务登记'!$G$2:$G$201,MATCH(B102,'任务登记'!$A$2:$A$201,0)),'要件与标签'!$D$23:$D$29,0),"引用未来材料",IF(AND(G102="REVISE",L102=""),"修订缺新记录",IF(AND(G102="PENDING",Q102=""),"待核缺实质冲突",IF(AND(H102="不受影响",G102&lt;&gt;"KEEP"),"核对范围与处置","字段齐备")))))))))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10" t="str">
        <x:f>IF(COUNTA(A103:Q103)=0,"",IF(OR(A103="",B103="",C103="",D103="",E103="",F103="",G103="",H103="",I103="",J103="",K103="",M103="",N103="",O103="",P103=""),"缺必填",IF(COUNTIF($A$2:$A$201,A103)&gt;1,"ID重复",IF(COUNTIF('任务登记'!$A$2:$A$201,B103)&lt;&gt;1,"任务ID无效",IF(COUNTIF('材料'!$A$2:$A$201,D103)&lt;&gt;1,"材料ID无效",IF(INDEX('材料'!$B$2:$B$201,MATCH(D103,'材料'!$A$2:$A$201,0))&lt;&gt;INDEX('任务登记'!$B$2:$B$201,MATCH(B103,'任务登记'!$A$2:$A$201,0)),"材料与任务跨案",IF(ISERROR(SEARCH(";"&amp;D103&amp;";",";"&amp;INDEX('任务登记'!$H$2:$H$201,MATCH(B103,'任务登记'!$A$2:$A$201,0))&amp;";")),"材料不在可见清单",IF(COUNTIF('要件与标签'!$D$23:$D$29,INDEX('材料'!$H$2:$H$201,MATCH(D103,'材料'!$A$2:$A$201,0)))&lt;&gt;1,"材料阶段无效",IF(COUNTIF('要件与标签'!$D$23:$D$29,INDEX('任务登记'!$G$2:$G$201,MATCH(B103,'任务登记'!$A$2:$A$201,0)))&lt;&gt;1,"任务阶段无效",IF(MATCH(INDEX('材料'!$H$2:$H$201,MATCH(D103,'材料'!$A$2:$A$201,0)),'要件与标签'!$D$23:$D$29,0)&gt;MATCH(INDEX('任务登记'!$G$2:$G$201,MATCH(B103,'任务登记'!$A$2:$A$201,0)),'要件与标签'!$D$23:$D$29,0),"引用未来材料",IF(AND(G103="REVISE",L103=""),"修订缺新记录",IF(AND(G103="PENDING",Q103=""),"待核缺实质冲突",IF(AND(H103="不受影响",G103&lt;&gt;"KEEP"),"核对范围与处置","字段齐备")))))))))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10" t="str">
        <x:f>IF(COUNTA(A104:Q104)=0,"",IF(OR(A104="",B104="",C104="",D104="",E104="",F104="",G104="",H104="",I104="",J104="",K104="",M104="",N104="",O104="",P104=""),"缺必填",IF(COUNTIF($A$2:$A$201,A104)&gt;1,"ID重复",IF(COUNTIF('任务登记'!$A$2:$A$201,B104)&lt;&gt;1,"任务ID无效",IF(COUNTIF('材料'!$A$2:$A$201,D104)&lt;&gt;1,"材料ID无效",IF(INDEX('材料'!$B$2:$B$201,MATCH(D104,'材料'!$A$2:$A$201,0))&lt;&gt;INDEX('任务登记'!$B$2:$B$201,MATCH(B104,'任务登记'!$A$2:$A$201,0)),"材料与任务跨案",IF(ISERROR(SEARCH(";"&amp;D104&amp;";",";"&amp;INDEX('任务登记'!$H$2:$H$201,MATCH(B104,'任务登记'!$A$2:$A$201,0))&amp;";")),"材料不在可见清单",IF(COUNTIF('要件与标签'!$D$23:$D$29,INDEX('材料'!$H$2:$H$201,MATCH(D104,'材料'!$A$2:$A$201,0)))&lt;&gt;1,"材料阶段无效",IF(COUNTIF('要件与标签'!$D$23:$D$29,INDEX('任务登记'!$G$2:$G$201,MATCH(B104,'任务登记'!$A$2:$A$201,0)))&lt;&gt;1,"任务阶段无效",IF(MATCH(INDEX('材料'!$H$2:$H$201,MATCH(D104,'材料'!$A$2:$A$201,0)),'要件与标签'!$D$23:$D$29,0)&gt;MATCH(INDEX('任务登记'!$G$2:$G$201,MATCH(B104,'任务登记'!$A$2:$A$201,0)),'要件与标签'!$D$23:$D$29,0),"引用未来材料",IF(AND(G104="REVISE",L104=""),"修订缺新记录",IF(AND(G104="PENDING",Q104=""),"待核缺实质冲突",IF(AND(H104="不受影响",G104&lt;&gt;"KEEP"),"核对范围与处置","字段齐备")))))))))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10" t="str">
        <x:f>IF(COUNTA(A105:Q105)=0,"",IF(OR(A105="",B105="",C105="",D105="",E105="",F105="",G105="",H105="",I105="",J105="",K105="",M105="",N105="",O105="",P105=""),"缺必填",IF(COUNTIF($A$2:$A$201,A105)&gt;1,"ID重复",IF(COUNTIF('任务登记'!$A$2:$A$201,B105)&lt;&gt;1,"任务ID无效",IF(COUNTIF('材料'!$A$2:$A$201,D105)&lt;&gt;1,"材料ID无效",IF(INDEX('材料'!$B$2:$B$201,MATCH(D105,'材料'!$A$2:$A$201,0))&lt;&gt;INDEX('任务登记'!$B$2:$B$201,MATCH(B105,'任务登记'!$A$2:$A$201,0)),"材料与任务跨案",IF(ISERROR(SEARCH(";"&amp;D105&amp;";",";"&amp;INDEX('任务登记'!$H$2:$H$201,MATCH(B105,'任务登记'!$A$2:$A$201,0))&amp;";")),"材料不在可见清单",IF(COUNTIF('要件与标签'!$D$23:$D$29,INDEX('材料'!$H$2:$H$201,MATCH(D105,'材料'!$A$2:$A$201,0)))&lt;&gt;1,"材料阶段无效",IF(COUNTIF('要件与标签'!$D$23:$D$29,INDEX('任务登记'!$G$2:$G$201,MATCH(B105,'任务登记'!$A$2:$A$201,0)))&lt;&gt;1,"任务阶段无效",IF(MATCH(INDEX('材料'!$H$2:$H$201,MATCH(D105,'材料'!$A$2:$A$201,0)),'要件与标签'!$D$23:$D$29,0)&gt;MATCH(INDEX('任务登记'!$G$2:$G$201,MATCH(B105,'任务登记'!$A$2:$A$201,0)),'要件与标签'!$D$23:$D$29,0),"引用未来材料",IF(AND(G105="REVISE",L105=""),"修订缺新记录",IF(AND(G105="PENDING",Q105=""),"待核缺实质冲突",IF(AND(H105="不受影响",G105&lt;&gt;"KEEP"),"核对范围与处置","字段齐备")))))))))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10" t="str">
        <x:f>IF(COUNTA(A106:Q106)=0,"",IF(OR(A106="",B106="",C106="",D106="",E106="",F106="",G106="",H106="",I106="",J106="",K106="",M106="",N106="",O106="",P106=""),"缺必填",IF(COUNTIF($A$2:$A$201,A106)&gt;1,"ID重复",IF(COUNTIF('任务登记'!$A$2:$A$201,B106)&lt;&gt;1,"任务ID无效",IF(COUNTIF('材料'!$A$2:$A$201,D106)&lt;&gt;1,"材料ID无效",IF(INDEX('材料'!$B$2:$B$201,MATCH(D106,'材料'!$A$2:$A$201,0))&lt;&gt;INDEX('任务登记'!$B$2:$B$201,MATCH(B106,'任务登记'!$A$2:$A$201,0)),"材料与任务跨案",IF(ISERROR(SEARCH(";"&amp;D106&amp;";",";"&amp;INDEX('任务登记'!$H$2:$H$201,MATCH(B106,'任务登记'!$A$2:$A$201,0))&amp;";")),"材料不在可见清单",IF(COUNTIF('要件与标签'!$D$23:$D$29,INDEX('材料'!$H$2:$H$201,MATCH(D106,'材料'!$A$2:$A$201,0)))&lt;&gt;1,"材料阶段无效",IF(COUNTIF('要件与标签'!$D$23:$D$29,INDEX('任务登记'!$G$2:$G$201,MATCH(B106,'任务登记'!$A$2:$A$201,0)))&lt;&gt;1,"任务阶段无效",IF(MATCH(INDEX('材料'!$H$2:$H$201,MATCH(D106,'材料'!$A$2:$A$201,0)),'要件与标签'!$D$23:$D$29,0)&gt;MATCH(INDEX('任务登记'!$G$2:$G$201,MATCH(B106,'任务登记'!$A$2:$A$201,0)),'要件与标签'!$D$23:$D$29,0),"引用未来材料",IF(AND(G106="REVISE",L106=""),"修订缺新记录",IF(AND(G106="PENDING",Q106=""),"待核缺实质冲突",IF(AND(H106="不受影响",G106&lt;&gt;"KEEP"),"核对范围与处置","字段齐备")))))))))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10" t="str">
        <x:f>IF(COUNTA(A107:Q107)=0,"",IF(OR(A107="",B107="",C107="",D107="",E107="",F107="",G107="",H107="",I107="",J107="",K107="",M107="",N107="",O107="",P107=""),"缺必填",IF(COUNTIF($A$2:$A$201,A107)&gt;1,"ID重复",IF(COUNTIF('任务登记'!$A$2:$A$201,B107)&lt;&gt;1,"任务ID无效",IF(COUNTIF('材料'!$A$2:$A$201,D107)&lt;&gt;1,"材料ID无效",IF(INDEX('材料'!$B$2:$B$201,MATCH(D107,'材料'!$A$2:$A$201,0))&lt;&gt;INDEX('任务登记'!$B$2:$B$201,MATCH(B107,'任务登记'!$A$2:$A$201,0)),"材料与任务跨案",IF(ISERROR(SEARCH(";"&amp;D107&amp;";",";"&amp;INDEX('任务登记'!$H$2:$H$201,MATCH(B107,'任务登记'!$A$2:$A$201,0))&amp;";")),"材料不在可见清单",IF(COUNTIF('要件与标签'!$D$23:$D$29,INDEX('材料'!$H$2:$H$201,MATCH(D107,'材料'!$A$2:$A$201,0)))&lt;&gt;1,"材料阶段无效",IF(COUNTIF('要件与标签'!$D$23:$D$29,INDEX('任务登记'!$G$2:$G$201,MATCH(B107,'任务登记'!$A$2:$A$201,0)))&lt;&gt;1,"任务阶段无效",IF(MATCH(INDEX('材料'!$H$2:$H$201,MATCH(D107,'材料'!$A$2:$A$201,0)),'要件与标签'!$D$23:$D$29,0)&gt;MATCH(INDEX('任务登记'!$G$2:$G$201,MATCH(B107,'任务登记'!$A$2:$A$201,0)),'要件与标签'!$D$23:$D$29,0),"引用未来材料",IF(AND(G107="REVISE",L107=""),"修订缺新记录",IF(AND(G107="PENDING",Q107=""),"待核缺实质冲突",IF(AND(H107="不受影响",G107&lt;&gt;"KEEP"),"核对范围与处置","字段齐备")))))))))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10" t="str">
        <x:f>IF(COUNTA(A108:Q108)=0,"",IF(OR(A108="",B108="",C108="",D108="",E108="",F108="",G108="",H108="",I108="",J108="",K108="",M108="",N108="",O108="",P108=""),"缺必填",IF(COUNTIF($A$2:$A$201,A108)&gt;1,"ID重复",IF(COUNTIF('任务登记'!$A$2:$A$201,B108)&lt;&gt;1,"任务ID无效",IF(COUNTIF('材料'!$A$2:$A$201,D108)&lt;&gt;1,"材料ID无效",IF(INDEX('材料'!$B$2:$B$201,MATCH(D108,'材料'!$A$2:$A$201,0))&lt;&gt;INDEX('任务登记'!$B$2:$B$201,MATCH(B108,'任务登记'!$A$2:$A$201,0)),"材料与任务跨案",IF(ISERROR(SEARCH(";"&amp;D108&amp;";",";"&amp;INDEX('任务登记'!$H$2:$H$201,MATCH(B108,'任务登记'!$A$2:$A$201,0))&amp;";")),"材料不在可见清单",IF(COUNTIF('要件与标签'!$D$23:$D$29,INDEX('材料'!$H$2:$H$201,MATCH(D108,'材料'!$A$2:$A$201,0)))&lt;&gt;1,"材料阶段无效",IF(COUNTIF('要件与标签'!$D$23:$D$29,INDEX('任务登记'!$G$2:$G$201,MATCH(B108,'任务登记'!$A$2:$A$201,0)))&lt;&gt;1,"任务阶段无效",IF(MATCH(INDEX('材料'!$H$2:$H$201,MATCH(D108,'材料'!$A$2:$A$201,0)),'要件与标签'!$D$23:$D$29,0)&gt;MATCH(INDEX('任务登记'!$G$2:$G$201,MATCH(B108,'任务登记'!$A$2:$A$201,0)),'要件与标签'!$D$23:$D$29,0),"引用未来材料",IF(AND(G108="REVISE",L108=""),"修订缺新记录",IF(AND(G108="PENDING",Q108=""),"待核缺实质冲突",IF(AND(H108="不受影响",G108&lt;&gt;"KEEP"),"核对范围与处置","字段齐备")))))))))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10" t="str">
        <x:f>IF(COUNTA(A109:Q109)=0,"",IF(OR(A109="",B109="",C109="",D109="",E109="",F109="",G109="",H109="",I109="",J109="",K109="",M109="",N109="",O109="",P109=""),"缺必填",IF(COUNTIF($A$2:$A$201,A109)&gt;1,"ID重复",IF(COUNTIF('任务登记'!$A$2:$A$201,B109)&lt;&gt;1,"任务ID无效",IF(COUNTIF('材料'!$A$2:$A$201,D109)&lt;&gt;1,"材料ID无效",IF(INDEX('材料'!$B$2:$B$201,MATCH(D109,'材料'!$A$2:$A$201,0))&lt;&gt;INDEX('任务登记'!$B$2:$B$201,MATCH(B109,'任务登记'!$A$2:$A$201,0)),"材料与任务跨案",IF(ISERROR(SEARCH(";"&amp;D109&amp;";",";"&amp;INDEX('任务登记'!$H$2:$H$201,MATCH(B109,'任务登记'!$A$2:$A$201,0))&amp;";")),"材料不在可见清单",IF(COUNTIF('要件与标签'!$D$23:$D$29,INDEX('材料'!$H$2:$H$201,MATCH(D109,'材料'!$A$2:$A$201,0)))&lt;&gt;1,"材料阶段无效",IF(COUNTIF('要件与标签'!$D$23:$D$29,INDEX('任务登记'!$G$2:$G$201,MATCH(B109,'任务登记'!$A$2:$A$201,0)))&lt;&gt;1,"任务阶段无效",IF(MATCH(INDEX('材料'!$H$2:$H$201,MATCH(D109,'材料'!$A$2:$A$201,0)),'要件与标签'!$D$23:$D$29,0)&gt;MATCH(INDEX('任务登记'!$G$2:$G$201,MATCH(B109,'任务登记'!$A$2:$A$201,0)),'要件与标签'!$D$23:$D$29,0),"引用未来材料",IF(AND(G109="REVISE",L109=""),"修订缺新记录",IF(AND(G109="PENDING",Q109=""),"待核缺实质冲突",IF(AND(H109="不受影响",G109&lt;&gt;"KEEP"),"核对范围与处置","字段齐备")))))))))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10" t="str">
        <x:f>IF(COUNTA(A110:Q110)=0,"",IF(OR(A110="",B110="",C110="",D110="",E110="",F110="",G110="",H110="",I110="",J110="",K110="",M110="",N110="",O110="",P110=""),"缺必填",IF(COUNTIF($A$2:$A$201,A110)&gt;1,"ID重复",IF(COUNTIF('任务登记'!$A$2:$A$201,B110)&lt;&gt;1,"任务ID无效",IF(COUNTIF('材料'!$A$2:$A$201,D110)&lt;&gt;1,"材料ID无效",IF(INDEX('材料'!$B$2:$B$201,MATCH(D110,'材料'!$A$2:$A$201,0))&lt;&gt;INDEX('任务登记'!$B$2:$B$201,MATCH(B110,'任务登记'!$A$2:$A$201,0)),"材料与任务跨案",IF(ISERROR(SEARCH(";"&amp;D110&amp;";",";"&amp;INDEX('任务登记'!$H$2:$H$201,MATCH(B110,'任务登记'!$A$2:$A$201,0))&amp;";")),"材料不在可见清单",IF(COUNTIF('要件与标签'!$D$23:$D$29,INDEX('材料'!$H$2:$H$201,MATCH(D110,'材料'!$A$2:$A$201,0)))&lt;&gt;1,"材料阶段无效",IF(COUNTIF('要件与标签'!$D$23:$D$29,INDEX('任务登记'!$G$2:$G$201,MATCH(B110,'任务登记'!$A$2:$A$201,0)))&lt;&gt;1,"任务阶段无效",IF(MATCH(INDEX('材料'!$H$2:$H$201,MATCH(D110,'材料'!$A$2:$A$201,0)),'要件与标签'!$D$23:$D$29,0)&gt;MATCH(INDEX('任务登记'!$G$2:$G$201,MATCH(B110,'任务登记'!$A$2:$A$201,0)),'要件与标签'!$D$23:$D$29,0),"引用未来材料",IF(AND(G110="REVISE",L110=""),"修订缺新记录",IF(AND(G110="PENDING",Q110=""),"待核缺实质冲突",IF(AND(H110="不受影响",G110&lt;&gt;"KEEP"),"核对范围与处置","字段齐备")))))))))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10" t="str">
        <x:f>IF(COUNTA(A111:Q111)=0,"",IF(OR(A111="",B111="",C111="",D111="",E111="",F111="",G111="",H111="",I111="",J111="",K111="",M111="",N111="",O111="",P111=""),"缺必填",IF(COUNTIF($A$2:$A$201,A111)&gt;1,"ID重复",IF(COUNTIF('任务登记'!$A$2:$A$201,B111)&lt;&gt;1,"任务ID无效",IF(COUNTIF('材料'!$A$2:$A$201,D111)&lt;&gt;1,"材料ID无效",IF(INDEX('材料'!$B$2:$B$201,MATCH(D111,'材料'!$A$2:$A$201,0))&lt;&gt;INDEX('任务登记'!$B$2:$B$201,MATCH(B111,'任务登记'!$A$2:$A$201,0)),"材料与任务跨案",IF(ISERROR(SEARCH(";"&amp;D111&amp;";",";"&amp;INDEX('任务登记'!$H$2:$H$201,MATCH(B111,'任务登记'!$A$2:$A$201,0))&amp;";")),"材料不在可见清单",IF(COUNTIF('要件与标签'!$D$23:$D$29,INDEX('材料'!$H$2:$H$201,MATCH(D111,'材料'!$A$2:$A$201,0)))&lt;&gt;1,"材料阶段无效",IF(COUNTIF('要件与标签'!$D$23:$D$29,INDEX('任务登记'!$G$2:$G$201,MATCH(B111,'任务登记'!$A$2:$A$201,0)))&lt;&gt;1,"任务阶段无效",IF(MATCH(INDEX('材料'!$H$2:$H$201,MATCH(D111,'材料'!$A$2:$A$201,0)),'要件与标签'!$D$23:$D$29,0)&gt;MATCH(INDEX('任务登记'!$G$2:$G$201,MATCH(B111,'任务登记'!$A$2:$A$201,0)),'要件与标签'!$D$23:$D$29,0),"引用未来材料",IF(AND(G111="REVISE",L111=""),"修订缺新记录",IF(AND(G111="PENDING",Q111=""),"待核缺实质冲突",IF(AND(H111="不受影响",G111&lt;&gt;"KEEP"),"核对范围与处置","字段齐备")))))))))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10" t="str">
        <x:f>IF(COUNTA(A112:Q112)=0,"",IF(OR(A112="",B112="",C112="",D112="",E112="",F112="",G112="",H112="",I112="",J112="",K112="",M112="",N112="",O112="",P112=""),"缺必填",IF(COUNTIF($A$2:$A$201,A112)&gt;1,"ID重复",IF(COUNTIF('任务登记'!$A$2:$A$201,B112)&lt;&gt;1,"任务ID无效",IF(COUNTIF('材料'!$A$2:$A$201,D112)&lt;&gt;1,"材料ID无效",IF(INDEX('材料'!$B$2:$B$201,MATCH(D112,'材料'!$A$2:$A$201,0))&lt;&gt;INDEX('任务登记'!$B$2:$B$201,MATCH(B112,'任务登记'!$A$2:$A$201,0)),"材料与任务跨案",IF(ISERROR(SEARCH(";"&amp;D112&amp;";",";"&amp;INDEX('任务登记'!$H$2:$H$201,MATCH(B112,'任务登记'!$A$2:$A$201,0))&amp;";")),"材料不在可见清单",IF(COUNTIF('要件与标签'!$D$23:$D$29,INDEX('材料'!$H$2:$H$201,MATCH(D112,'材料'!$A$2:$A$201,0)))&lt;&gt;1,"材料阶段无效",IF(COUNTIF('要件与标签'!$D$23:$D$29,INDEX('任务登记'!$G$2:$G$201,MATCH(B112,'任务登记'!$A$2:$A$201,0)))&lt;&gt;1,"任务阶段无效",IF(MATCH(INDEX('材料'!$H$2:$H$201,MATCH(D112,'材料'!$A$2:$A$201,0)),'要件与标签'!$D$23:$D$29,0)&gt;MATCH(INDEX('任务登记'!$G$2:$G$201,MATCH(B112,'任务登记'!$A$2:$A$201,0)),'要件与标签'!$D$23:$D$29,0),"引用未来材料",IF(AND(G112="REVISE",L112=""),"修订缺新记录",IF(AND(G112="PENDING",Q112=""),"待核缺实质冲突",IF(AND(H112="不受影响",G112&lt;&gt;"KEEP"),"核对范围与处置","字段齐备")))))))))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10" t="str">
        <x:f>IF(COUNTA(A113:Q113)=0,"",IF(OR(A113="",B113="",C113="",D113="",E113="",F113="",G113="",H113="",I113="",J113="",K113="",M113="",N113="",O113="",P113=""),"缺必填",IF(COUNTIF($A$2:$A$201,A113)&gt;1,"ID重复",IF(COUNTIF('任务登记'!$A$2:$A$201,B113)&lt;&gt;1,"任务ID无效",IF(COUNTIF('材料'!$A$2:$A$201,D113)&lt;&gt;1,"材料ID无效",IF(INDEX('材料'!$B$2:$B$201,MATCH(D113,'材料'!$A$2:$A$201,0))&lt;&gt;INDEX('任务登记'!$B$2:$B$201,MATCH(B113,'任务登记'!$A$2:$A$201,0)),"材料与任务跨案",IF(ISERROR(SEARCH(";"&amp;D113&amp;";",";"&amp;INDEX('任务登记'!$H$2:$H$201,MATCH(B113,'任务登记'!$A$2:$A$201,0))&amp;";")),"材料不在可见清单",IF(COUNTIF('要件与标签'!$D$23:$D$29,INDEX('材料'!$H$2:$H$201,MATCH(D113,'材料'!$A$2:$A$201,0)))&lt;&gt;1,"材料阶段无效",IF(COUNTIF('要件与标签'!$D$23:$D$29,INDEX('任务登记'!$G$2:$G$201,MATCH(B113,'任务登记'!$A$2:$A$201,0)))&lt;&gt;1,"任务阶段无效",IF(MATCH(INDEX('材料'!$H$2:$H$201,MATCH(D113,'材料'!$A$2:$A$201,0)),'要件与标签'!$D$23:$D$29,0)&gt;MATCH(INDEX('任务登记'!$G$2:$G$201,MATCH(B113,'任务登记'!$A$2:$A$201,0)),'要件与标签'!$D$23:$D$29,0),"引用未来材料",IF(AND(G113="REVISE",L113=""),"修订缺新记录",IF(AND(G113="PENDING",Q113=""),"待核缺实质冲突",IF(AND(H113="不受影响",G113&lt;&gt;"KEEP"),"核对范围与处置","字段齐备")))))))))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10" t="str">
        <x:f>IF(COUNTA(A114:Q114)=0,"",IF(OR(A114="",B114="",C114="",D114="",E114="",F114="",G114="",H114="",I114="",J114="",K114="",M114="",N114="",O114="",P114=""),"缺必填",IF(COUNTIF($A$2:$A$201,A114)&gt;1,"ID重复",IF(COUNTIF('任务登记'!$A$2:$A$201,B114)&lt;&gt;1,"任务ID无效",IF(COUNTIF('材料'!$A$2:$A$201,D114)&lt;&gt;1,"材料ID无效",IF(INDEX('材料'!$B$2:$B$201,MATCH(D114,'材料'!$A$2:$A$201,0))&lt;&gt;INDEX('任务登记'!$B$2:$B$201,MATCH(B114,'任务登记'!$A$2:$A$201,0)),"材料与任务跨案",IF(ISERROR(SEARCH(";"&amp;D114&amp;";",";"&amp;INDEX('任务登记'!$H$2:$H$201,MATCH(B114,'任务登记'!$A$2:$A$201,0))&amp;";")),"材料不在可见清单",IF(COUNTIF('要件与标签'!$D$23:$D$29,INDEX('材料'!$H$2:$H$201,MATCH(D114,'材料'!$A$2:$A$201,0)))&lt;&gt;1,"材料阶段无效",IF(COUNTIF('要件与标签'!$D$23:$D$29,INDEX('任务登记'!$G$2:$G$201,MATCH(B114,'任务登记'!$A$2:$A$201,0)))&lt;&gt;1,"任务阶段无效",IF(MATCH(INDEX('材料'!$H$2:$H$201,MATCH(D114,'材料'!$A$2:$A$201,0)),'要件与标签'!$D$23:$D$29,0)&gt;MATCH(INDEX('任务登记'!$G$2:$G$201,MATCH(B114,'任务登记'!$A$2:$A$201,0)),'要件与标签'!$D$23:$D$29,0),"引用未来材料",IF(AND(G114="REVISE",L114=""),"修订缺新记录",IF(AND(G114="PENDING",Q114=""),"待核缺实质冲突",IF(AND(H114="不受影响",G114&lt;&gt;"KEEP"),"核对范围与处置","字段齐备")))))))))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10" t="str">
        <x:f>IF(COUNTA(A115:Q115)=0,"",IF(OR(A115="",B115="",C115="",D115="",E115="",F115="",G115="",H115="",I115="",J115="",K115="",M115="",N115="",O115="",P115=""),"缺必填",IF(COUNTIF($A$2:$A$201,A115)&gt;1,"ID重复",IF(COUNTIF('任务登记'!$A$2:$A$201,B115)&lt;&gt;1,"任务ID无效",IF(COUNTIF('材料'!$A$2:$A$201,D115)&lt;&gt;1,"材料ID无效",IF(INDEX('材料'!$B$2:$B$201,MATCH(D115,'材料'!$A$2:$A$201,0))&lt;&gt;INDEX('任务登记'!$B$2:$B$201,MATCH(B115,'任务登记'!$A$2:$A$201,0)),"材料与任务跨案",IF(ISERROR(SEARCH(";"&amp;D115&amp;";",";"&amp;INDEX('任务登记'!$H$2:$H$201,MATCH(B115,'任务登记'!$A$2:$A$201,0))&amp;";")),"材料不在可见清单",IF(COUNTIF('要件与标签'!$D$23:$D$29,INDEX('材料'!$H$2:$H$201,MATCH(D115,'材料'!$A$2:$A$201,0)))&lt;&gt;1,"材料阶段无效",IF(COUNTIF('要件与标签'!$D$23:$D$29,INDEX('任务登记'!$G$2:$G$201,MATCH(B115,'任务登记'!$A$2:$A$201,0)))&lt;&gt;1,"任务阶段无效",IF(MATCH(INDEX('材料'!$H$2:$H$201,MATCH(D115,'材料'!$A$2:$A$201,0)),'要件与标签'!$D$23:$D$29,0)&gt;MATCH(INDEX('任务登记'!$G$2:$G$201,MATCH(B115,'任务登记'!$A$2:$A$201,0)),'要件与标签'!$D$23:$D$29,0),"引用未来材料",IF(AND(G115="REVISE",L115=""),"修订缺新记录",IF(AND(G115="PENDING",Q115=""),"待核缺实质冲突",IF(AND(H115="不受影响",G115&lt;&gt;"KEEP"),"核对范围与处置","字段齐备")))))))))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10" t="str">
        <x:f>IF(COUNTA(A116:Q116)=0,"",IF(OR(A116="",B116="",C116="",D116="",E116="",F116="",G116="",H116="",I116="",J116="",K116="",M116="",N116="",O116="",P116=""),"缺必填",IF(COUNTIF($A$2:$A$201,A116)&gt;1,"ID重复",IF(COUNTIF('任务登记'!$A$2:$A$201,B116)&lt;&gt;1,"任务ID无效",IF(COUNTIF('材料'!$A$2:$A$201,D116)&lt;&gt;1,"材料ID无效",IF(INDEX('材料'!$B$2:$B$201,MATCH(D116,'材料'!$A$2:$A$201,0))&lt;&gt;INDEX('任务登记'!$B$2:$B$201,MATCH(B116,'任务登记'!$A$2:$A$201,0)),"材料与任务跨案",IF(ISERROR(SEARCH(";"&amp;D116&amp;";",";"&amp;INDEX('任务登记'!$H$2:$H$201,MATCH(B116,'任务登记'!$A$2:$A$201,0))&amp;";")),"材料不在可见清单",IF(COUNTIF('要件与标签'!$D$23:$D$29,INDEX('材料'!$H$2:$H$201,MATCH(D116,'材料'!$A$2:$A$201,0)))&lt;&gt;1,"材料阶段无效",IF(COUNTIF('要件与标签'!$D$23:$D$29,INDEX('任务登记'!$G$2:$G$201,MATCH(B116,'任务登记'!$A$2:$A$201,0)))&lt;&gt;1,"任务阶段无效",IF(MATCH(INDEX('材料'!$H$2:$H$201,MATCH(D116,'材料'!$A$2:$A$201,0)),'要件与标签'!$D$23:$D$29,0)&gt;MATCH(INDEX('任务登记'!$G$2:$G$201,MATCH(B116,'任务登记'!$A$2:$A$201,0)),'要件与标签'!$D$23:$D$29,0),"引用未来材料",IF(AND(G116="REVISE",L116=""),"修订缺新记录",IF(AND(G116="PENDING",Q116=""),"待核缺实质冲突",IF(AND(H116="不受影响",G116&lt;&gt;"KEEP"),"核对范围与处置","字段齐备")))))))))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10" t="str">
        <x:f>IF(COUNTA(A117:Q117)=0,"",IF(OR(A117="",B117="",C117="",D117="",E117="",F117="",G117="",H117="",I117="",J117="",K117="",M117="",N117="",O117="",P117=""),"缺必填",IF(COUNTIF($A$2:$A$201,A117)&gt;1,"ID重复",IF(COUNTIF('任务登记'!$A$2:$A$201,B117)&lt;&gt;1,"任务ID无效",IF(COUNTIF('材料'!$A$2:$A$201,D117)&lt;&gt;1,"材料ID无效",IF(INDEX('材料'!$B$2:$B$201,MATCH(D117,'材料'!$A$2:$A$201,0))&lt;&gt;INDEX('任务登记'!$B$2:$B$201,MATCH(B117,'任务登记'!$A$2:$A$201,0)),"材料与任务跨案",IF(ISERROR(SEARCH(";"&amp;D117&amp;";",";"&amp;INDEX('任务登记'!$H$2:$H$201,MATCH(B117,'任务登记'!$A$2:$A$201,0))&amp;";")),"材料不在可见清单",IF(COUNTIF('要件与标签'!$D$23:$D$29,INDEX('材料'!$H$2:$H$201,MATCH(D117,'材料'!$A$2:$A$201,0)))&lt;&gt;1,"材料阶段无效",IF(COUNTIF('要件与标签'!$D$23:$D$29,INDEX('任务登记'!$G$2:$G$201,MATCH(B117,'任务登记'!$A$2:$A$201,0)))&lt;&gt;1,"任务阶段无效",IF(MATCH(INDEX('材料'!$H$2:$H$201,MATCH(D117,'材料'!$A$2:$A$201,0)),'要件与标签'!$D$23:$D$29,0)&gt;MATCH(INDEX('任务登记'!$G$2:$G$201,MATCH(B117,'任务登记'!$A$2:$A$201,0)),'要件与标签'!$D$23:$D$29,0),"引用未来材料",IF(AND(G117="REVISE",L117=""),"修订缺新记录",IF(AND(G117="PENDING",Q117=""),"待核缺实质冲突",IF(AND(H117="不受影响",G117&lt;&gt;"KEEP"),"核对范围与处置","字段齐备")))))))))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10" t="str">
        <x:f>IF(COUNTA(A118:Q118)=0,"",IF(OR(A118="",B118="",C118="",D118="",E118="",F118="",G118="",H118="",I118="",J118="",K118="",M118="",N118="",O118="",P118=""),"缺必填",IF(COUNTIF($A$2:$A$201,A118)&gt;1,"ID重复",IF(COUNTIF('任务登记'!$A$2:$A$201,B118)&lt;&gt;1,"任务ID无效",IF(COUNTIF('材料'!$A$2:$A$201,D118)&lt;&gt;1,"材料ID无效",IF(INDEX('材料'!$B$2:$B$201,MATCH(D118,'材料'!$A$2:$A$201,0))&lt;&gt;INDEX('任务登记'!$B$2:$B$201,MATCH(B118,'任务登记'!$A$2:$A$201,0)),"材料与任务跨案",IF(ISERROR(SEARCH(";"&amp;D118&amp;";",";"&amp;INDEX('任务登记'!$H$2:$H$201,MATCH(B118,'任务登记'!$A$2:$A$201,0))&amp;";")),"材料不在可见清单",IF(COUNTIF('要件与标签'!$D$23:$D$29,INDEX('材料'!$H$2:$H$201,MATCH(D118,'材料'!$A$2:$A$201,0)))&lt;&gt;1,"材料阶段无效",IF(COUNTIF('要件与标签'!$D$23:$D$29,INDEX('任务登记'!$G$2:$G$201,MATCH(B118,'任务登记'!$A$2:$A$201,0)))&lt;&gt;1,"任务阶段无效",IF(MATCH(INDEX('材料'!$H$2:$H$201,MATCH(D118,'材料'!$A$2:$A$201,0)),'要件与标签'!$D$23:$D$29,0)&gt;MATCH(INDEX('任务登记'!$G$2:$G$201,MATCH(B118,'任务登记'!$A$2:$A$201,0)),'要件与标签'!$D$23:$D$29,0),"引用未来材料",IF(AND(G118="REVISE",L118=""),"修订缺新记录",IF(AND(G118="PENDING",Q118=""),"待核缺实质冲突",IF(AND(H118="不受影响",G118&lt;&gt;"KEEP"),"核对范围与处置","字段齐备")))))))))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10" t="str">
        <x:f>IF(COUNTA(A119:Q119)=0,"",IF(OR(A119="",B119="",C119="",D119="",E119="",F119="",G119="",H119="",I119="",J119="",K119="",M119="",N119="",O119="",P119=""),"缺必填",IF(COUNTIF($A$2:$A$201,A119)&gt;1,"ID重复",IF(COUNTIF('任务登记'!$A$2:$A$201,B119)&lt;&gt;1,"任务ID无效",IF(COUNTIF('材料'!$A$2:$A$201,D119)&lt;&gt;1,"材料ID无效",IF(INDEX('材料'!$B$2:$B$201,MATCH(D119,'材料'!$A$2:$A$201,0))&lt;&gt;INDEX('任务登记'!$B$2:$B$201,MATCH(B119,'任务登记'!$A$2:$A$201,0)),"材料与任务跨案",IF(ISERROR(SEARCH(";"&amp;D119&amp;";",";"&amp;INDEX('任务登记'!$H$2:$H$201,MATCH(B119,'任务登记'!$A$2:$A$201,0))&amp;";")),"材料不在可见清单",IF(COUNTIF('要件与标签'!$D$23:$D$29,INDEX('材料'!$H$2:$H$201,MATCH(D119,'材料'!$A$2:$A$201,0)))&lt;&gt;1,"材料阶段无效",IF(COUNTIF('要件与标签'!$D$23:$D$29,INDEX('任务登记'!$G$2:$G$201,MATCH(B119,'任务登记'!$A$2:$A$201,0)))&lt;&gt;1,"任务阶段无效",IF(MATCH(INDEX('材料'!$H$2:$H$201,MATCH(D119,'材料'!$A$2:$A$201,0)),'要件与标签'!$D$23:$D$29,0)&gt;MATCH(INDEX('任务登记'!$G$2:$G$201,MATCH(B119,'任务登记'!$A$2:$A$201,0)),'要件与标签'!$D$23:$D$29,0),"引用未来材料",IF(AND(G119="REVISE",L119=""),"修订缺新记录",IF(AND(G119="PENDING",Q119=""),"待核缺实质冲突",IF(AND(H119="不受影响",G119&lt;&gt;"KEEP"),"核对范围与处置","字段齐备")))))))))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10" t="str">
        <x:f>IF(COUNTA(A120:Q120)=0,"",IF(OR(A120="",B120="",C120="",D120="",E120="",F120="",G120="",H120="",I120="",J120="",K120="",M120="",N120="",O120="",P120=""),"缺必填",IF(COUNTIF($A$2:$A$201,A120)&gt;1,"ID重复",IF(COUNTIF('任务登记'!$A$2:$A$201,B120)&lt;&gt;1,"任务ID无效",IF(COUNTIF('材料'!$A$2:$A$201,D120)&lt;&gt;1,"材料ID无效",IF(INDEX('材料'!$B$2:$B$201,MATCH(D120,'材料'!$A$2:$A$201,0))&lt;&gt;INDEX('任务登记'!$B$2:$B$201,MATCH(B120,'任务登记'!$A$2:$A$201,0)),"材料与任务跨案",IF(ISERROR(SEARCH(";"&amp;D120&amp;";",";"&amp;INDEX('任务登记'!$H$2:$H$201,MATCH(B120,'任务登记'!$A$2:$A$201,0))&amp;";")),"材料不在可见清单",IF(COUNTIF('要件与标签'!$D$23:$D$29,INDEX('材料'!$H$2:$H$201,MATCH(D120,'材料'!$A$2:$A$201,0)))&lt;&gt;1,"材料阶段无效",IF(COUNTIF('要件与标签'!$D$23:$D$29,INDEX('任务登记'!$G$2:$G$201,MATCH(B120,'任务登记'!$A$2:$A$201,0)))&lt;&gt;1,"任务阶段无效",IF(MATCH(INDEX('材料'!$H$2:$H$201,MATCH(D120,'材料'!$A$2:$A$201,0)),'要件与标签'!$D$23:$D$29,0)&gt;MATCH(INDEX('任务登记'!$G$2:$G$201,MATCH(B120,'任务登记'!$A$2:$A$201,0)),'要件与标签'!$D$23:$D$29,0),"引用未来材料",IF(AND(G120="REVISE",L120=""),"修订缺新记录",IF(AND(G120="PENDING",Q120=""),"待核缺实质冲突",IF(AND(H120="不受影响",G120&lt;&gt;"KEEP"),"核对范围与处置","字段齐备")))))))))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10" t="str">
        <x:f>IF(COUNTA(A121:Q121)=0,"",IF(OR(A121="",B121="",C121="",D121="",E121="",F121="",G121="",H121="",I121="",J121="",K121="",M121="",N121="",O121="",P121=""),"缺必填",IF(COUNTIF($A$2:$A$201,A121)&gt;1,"ID重复",IF(COUNTIF('任务登记'!$A$2:$A$201,B121)&lt;&gt;1,"任务ID无效",IF(COUNTIF('材料'!$A$2:$A$201,D121)&lt;&gt;1,"材料ID无效",IF(INDEX('材料'!$B$2:$B$201,MATCH(D121,'材料'!$A$2:$A$201,0))&lt;&gt;INDEX('任务登记'!$B$2:$B$201,MATCH(B121,'任务登记'!$A$2:$A$201,0)),"材料与任务跨案",IF(ISERROR(SEARCH(";"&amp;D121&amp;";",";"&amp;INDEX('任务登记'!$H$2:$H$201,MATCH(B121,'任务登记'!$A$2:$A$201,0))&amp;";")),"材料不在可见清单",IF(COUNTIF('要件与标签'!$D$23:$D$29,INDEX('材料'!$H$2:$H$201,MATCH(D121,'材料'!$A$2:$A$201,0)))&lt;&gt;1,"材料阶段无效",IF(COUNTIF('要件与标签'!$D$23:$D$29,INDEX('任务登记'!$G$2:$G$201,MATCH(B121,'任务登记'!$A$2:$A$201,0)))&lt;&gt;1,"任务阶段无效",IF(MATCH(INDEX('材料'!$H$2:$H$201,MATCH(D121,'材料'!$A$2:$A$201,0)),'要件与标签'!$D$23:$D$29,0)&gt;MATCH(INDEX('任务登记'!$G$2:$G$201,MATCH(B121,'任务登记'!$A$2:$A$201,0)),'要件与标签'!$D$23:$D$29,0),"引用未来材料",IF(AND(G121="REVISE",L121=""),"修订缺新记录",IF(AND(G121="PENDING",Q121=""),"待核缺实质冲突",IF(AND(H121="不受影响",G121&lt;&gt;"KEEP"),"核对范围与处置","字段齐备")))))))))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10" t="str">
        <x:f>IF(COUNTA(A122:Q122)=0,"",IF(OR(A122="",B122="",C122="",D122="",E122="",F122="",G122="",H122="",I122="",J122="",K122="",M122="",N122="",O122="",P122=""),"缺必填",IF(COUNTIF($A$2:$A$201,A122)&gt;1,"ID重复",IF(COUNTIF('任务登记'!$A$2:$A$201,B122)&lt;&gt;1,"任务ID无效",IF(COUNTIF('材料'!$A$2:$A$201,D122)&lt;&gt;1,"材料ID无效",IF(INDEX('材料'!$B$2:$B$201,MATCH(D122,'材料'!$A$2:$A$201,0))&lt;&gt;INDEX('任务登记'!$B$2:$B$201,MATCH(B122,'任务登记'!$A$2:$A$201,0)),"材料与任务跨案",IF(ISERROR(SEARCH(";"&amp;D122&amp;";",";"&amp;INDEX('任务登记'!$H$2:$H$201,MATCH(B122,'任务登记'!$A$2:$A$201,0))&amp;";")),"材料不在可见清单",IF(COUNTIF('要件与标签'!$D$23:$D$29,INDEX('材料'!$H$2:$H$201,MATCH(D122,'材料'!$A$2:$A$201,0)))&lt;&gt;1,"材料阶段无效",IF(COUNTIF('要件与标签'!$D$23:$D$29,INDEX('任务登记'!$G$2:$G$201,MATCH(B122,'任务登记'!$A$2:$A$201,0)))&lt;&gt;1,"任务阶段无效",IF(MATCH(INDEX('材料'!$H$2:$H$201,MATCH(D122,'材料'!$A$2:$A$201,0)),'要件与标签'!$D$23:$D$29,0)&gt;MATCH(INDEX('任务登记'!$G$2:$G$201,MATCH(B122,'任务登记'!$A$2:$A$201,0)),'要件与标签'!$D$23:$D$29,0),"引用未来材料",IF(AND(G122="REVISE",L122=""),"修订缺新记录",IF(AND(G122="PENDING",Q122=""),"待核缺实质冲突",IF(AND(H122="不受影响",G122&lt;&gt;"KEEP"),"核对范围与处置","字段齐备")))))))))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10" t="str">
        <x:f>IF(COUNTA(A123:Q123)=0,"",IF(OR(A123="",B123="",C123="",D123="",E123="",F123="",G123="",H123="",I123="",J123="",K123="",M123="",N123="",O123="",P123=""),"缺必填",IF(COUNTIF($A$2:$A$201,A123)&gt;1,"ID重复",IF(COUNTIF('任务登记'!$A$2:$A$201,B123)&lt;&gt;1,"任务ID无效",IF(COUNTIF('材料'!$A$2:$A$201,D123)&lt;&gt;1,"材料ID无效",IF(INDEX('材料'!$B$2:$B$201,MATCH(D123,'材料'!$A$2:$A$201,0))&lt;&gt;INDEX('任务登记'!$B$2:$B$201,MATCH(B123,'任务登记'!$A$2:$A$201,0)),"材料与任务跨案",IF(ISERROR(SEARCH(";"&amp;D123&amp;";",";"&amp;INDEX('任务登记'!$H$2:$H$201,MATCH(B123,'任务登记'!$A$2:$A$201,0))&amp;";")),"材料不在可见清单",IF(COUNTIF('要件与标签'!$D$23:$D$29,INDEX('材料'!$H$2:$H$201,MATCH(D123,'材料'!$A$2:$A$201,0)))&lt;&gt;1,"材料阶段无效",IF(COUNTIF('要件与标签'!$D$23:$D$29,INDEX('任务登记'!$G$2:$G$201,MATCH(B123,'任务登记'!$A$2:$A$201,0)))&lt;&gt;1,"任务阶段无效",IF(MATCH(INDEX('材料'!$H$2:$H$201,MATCH(D123,'材料'!$A$2:$A$201,0)),'要件与标签'!$D$23:$D$29,0)&gt;MATCH(INDEX('任务登记'!$G$2:$G$201,MATCH(B123,'任务登记'!$A$2:$A$201,0)),'要件与标签'!$D$23:$D$29,0),"引用未来材料",IF(AND(G123="REVISE",L123=""),"修订缺新记录",IF(AND(G123="PENDING",Q123=""),"待核缺实质冲突",IF(AND(H123="不受影响",G123&lt;&gt;"KEEP"),"核对范围与处置","字段齐备")))))))))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10" t="str">
        <x:f>IF(COUNTA(A124:Q124)=0,"",IF(OR(A124="",B124="",C124="",D124="",E124="",F124="",G124="",H124="",I124="",J124="",K124="",M124="",N124="",O124="",P124=""),"缺必填",IF(COUNTIF($A$2:$A$201,A124)&gt;1,"ID重复",IF(COUNTIF('任务登记'!$A$2:$A$201,B124)&lt;&gt;1,"任务ID无效",IF(COUNTIF('材料'!$A$2:$A$201,D124)&lt;&gt;1,"材料ID无效",IF(INDEX('材料'!$B$2:$B$201,MATCH(D124,'材料'!$A$2:$A$201,0))&lt;&gt;INDEX('任务登记'!$B$2:$B$201,MATCH(B124,'任务登记'!$A$2:$A$201,0)),"材料与任务跨案",IF(ISERROR(SEARCH(";"&amp;D124&amp;";",";"&amp;INDEX('任务登记'!$H$2:$H$201,MATCH(B124,'任务登记'!$A$2:$A$201,0))&amp;";")),"材料不在可见清单",IF(COUNTIF('要件与标签'!$D$23:$D$29,INDEX('材料'!$H$2:$H$201,MATCH(D124,'材料'!$A$2:$A$201,0)))&lt;&gt;1,"材料阶段无效",IF(COUNTIF('要件与标签'!$D$23:$D$29,INDEX('任务登记'!$G$2:$G$201,MATCH(B124,'任务登记'!$A$2:$A$201,0)))&lt;&gt;1,"任务阶段无效",IF(MATCH(INDEX('材料'!$H$2:$H$201,MATCH(D124,'材料'!$A$2:$A$201,0)),'要件与标签'!$D$23:$D$29,0)&gt;MATCH(INDEX('任务登记'!$G$2:$G$201,MATCH(B124,'任务登记'!$A$2:$A$201,0)),'要件与标签'!$D$23:$D$29,0),"引用未来材料",IF(AND(G124="REVISE",L124=""),"修订缺新记录",IF(AND(G124="PENDING",Q124=""),"待核缺实质冲突",IF(AND(H124="不受影响",G124&lt;&gt;"KEEP"),"核对范围与处置","字段齐备")))))))))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10" t="str">
        <x:f>IF(COUNTA(A125:Q125)=0,"",IF(OR(A125="",B125="",C125="",D125="",E125="",F125="",G125="",H125="",I125="",J125="",K125="",M125="",N125="",O125="",P125=""),"缺必填",IF(COUNTIF($A$2:$A$201,A125)&gt;1,"ID重复",IF(COUNTIF('任务登记'!$A$2:$A$201,B125)&lt;&gt;1,"任务ID无效",IF(COUNTIF('材料'!$A$2:$A$201,D125)&lt;&gt;1,"材料ID无效",IF(INDEX('材料'!$B$2:$B$201,MATCH(D125,'材料'!$A$2:$A$201,0))&lt;&gt;INDEX('任务登记'!$B$2:$B$201,MATCH(B125,'任务登记'!$A$2:$A$201,0)),"材料与任务跨案",IF(ISERROR(SEARCH(";"&amp;D125&amp;";",";"&amp;INDEX('任务登记'!$H$2:$H$201,MATCH(B125,'任务登记'!$A$2:$A$201,0))&amp;";")),"材料不在可见清单",IF(COUNTIF('要件与标签'!$D$23:$D$29,INDEX('材料'!$H$2:$H$201,MATCH(D125,'材料'!$A$2:$A$201,0)))&lt;&gt;1,"材料阶段无效",IF(COUNTIF('要件与标签'!$D$23:$D$29,INDEX('任务登记'!$G$2:$G$201,MATCH(B125,'任务登记'!$A$2:$A$201,0)))&lt;&gt;1,"任务阶段无效",IF(MATCH(INDEX('材料'!$H$2:$H$201,MATCH(D125,'材料'!$A$2:$A$201,0)),'要件与标签'!$D$23:$D$29,0)&gt;MATCH(INDEX('任务登记'!$G$2:$G$201,MATCH(B125,'任务登记'!$A$2:$A$201,0)),'要件与标签'!$D$23:$D$29,0),"引用未来材料",IF(AND(G125="REVISE",L125=""),"修订缺新记录",IF(AND(G125="PENDING",Q125=""),"待核缺实质冲突",IF(AND(H125="不受影响",G125&lt;&gt;"KEEP"),"核对范围与处置","字段齐备")))))))))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10" t="str">
        <x:f>IF(COUNTA(A126:Q126)=0,"",IF(OR(A126="",B126="",C126="",D126="",E126="",F126="",G126="",H126="",I126="",J126="",K126="",M126="",N126="",O126="",P126=""),"缺必填",IF(COUNTIF($A$2:$A$201,A126)&gt;1,"ID重复",IF(COUNTIF('任务登记'!$A$2:$A$201,B126)&lt;&gt;1,"任务ID无效",IF(COUNTIF('材料'!$A$2:$A$201,D126)&lt;&gt;1,"材料ID无效",IF(INDEX('材料'!$B$2:$B$201,MATCH(D126,'材料'!$A$2:$A$201,0))&lt;&gt;INDEX('任务登记'!$B$2:$B$201,MATCH(B126,'任务登记'!$A$2:$A$201,0)),"材料与任务跨案",IF(ISERROR(SEARCH(";"&amp;D126&amp;";",";"&amp;INDEX('任务登记'!$H$2:$H$201,MATCH(B126,'任务登记'!$A$2:$A$201,0))&amp;";")),"材料不在可见清单",IF(COUNTIF('要件与标签'!$D$23:$D$29,INDEX('材料'!$H$2:$H$201,MATCH(D126,'材料'!$A$2:$A$201,0)))&lt;&gt;1,"材料阶段无效",IF(COUNTIF('要件与标签'!$D$23:$D$29,INDEX('任务登记'!$G$2:$G$201,MATCH(B126,'任务登记'!$A$2:$A$201,0)))&lt;&gt;1,"任务阶段无效",IF(MATCH(INDEX('材料'!$H$2:$H$201,MATCH(D126,'材料'!$A$2:$A$201,0)),'要件与标签'!$D$23:$D$29,0)&gt;MATCH(INDEX('任务登记'!$G$2:$G$201,MATCH(B126,'任务登记'!$A$2:$A$201,0)),'要件与标签'!$D$23:$D$29,0),"引用未来材料",IF(AND(G126="REVISE",L126=""),"修订缺新记录",IF(AND(G126="PENDING",Q126=""),"待核缺实质冲突",IF(AND(H126="不受影响",G126&lt;&gt;"KEEP"),"核对范围与处置","字段齐备")))))))))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10" t="str">
        <x:f>IF(COUNTA(A127:Q127)=0,"",IF(OR(A127="",B127="",C127="",D127="",E127="",F127="",G127="",H127="",I127="",J127="",K127="",M127="",N127="",O127="",P127=""),"缺必填",IF(COUNTIF($A$2:$A$201,A127)&gt;1,"ID重复",IF(COUNTIF('任务登记'!$A$2:$A$201,B127)&lt;&gt;1,"任务ID无效",IF(COUNTIF('材料'!$A$2:$A$201,D127)&lt;&gt;1,"材料ID无效",IF(INDEX('材料'!$B$2:$B$201,MATCH(D127,'材料'!$A$2:$A$201,0))&lt;&gt;INDEX('任务登记'!$B$2:$B$201,MATCH(B127,'任务登记'!$A$2:$A$201,0)),"材料与任务跨案",IF(ISERROR(SEARCH(";"&amp;D127&amp;";",";"&amp;INDEX('任务登记'!$H$2:$H$201,MATCH(B127,'任务登记'!$A$2:$A$201,0))&amp;";")),"材料不在可见清单",IF(COUNTIF('要件与标签'!$D$23:$D$29,INDEX('材料'!$H$2:$H$201,MATCH(D127,'材料'!$A$2:$A$201,0)))&lt;&gt;1,"材料阶段无效",IF(COUNTIF('要件与标签'!$D$23:$D$29,INDEX('任务登记'!$G$2:$G$201,MATCH(B127,'任务登记'!$A$2:$A$201,0)))&lt;&gt;1,"任务阶段无效",IF(MATCH(INDEX('材料'!$H$2:$H$201,MATCH(D127,'材料'!$A$2:$A$201,0)),'要件与标签'!$D$23:$D$29,0)&gt;MATCH(INDEX('任务登记'!$G$2:$G$201,MATCH(B127,'任务登记'!$A$2:$A$201,0)),'要件与标签'!$D$23:$D$29,0),"引用未来材料",IF(AND(G127="REVISE",L127=""),"修订缺新记录",IF(AND(G127="PENDING",Q127=""),"待核缺实质冲突",IF(AND(H127="不受影响",G127&lt;&gt;"KEEP"),"核对范围与处置","字段齐备")))))))))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10" t="str">
        <x:f>IF(COUNTA(A128:Q128)=0,"",IF(OR(A128="",B128="",C128="",D128="",E128="",F128="",G128="",H128="",I128="",J128="",K128="",M128="",N128="",O128="",P128=""),"缺必填",IF(COUNTIF($A$2:$A$201,A128)&gt;1,"ID重复",IF(COUNTIF('任务登记'!$A$2:$A$201,B128)&lt;&gt;1,"任务ID无效",IF(COUNTIF('材料'!$A$2:$A$201,D128)&lt;&gt;1,"材料ID无效",IF(INDEX('材料'!$B$2:$B$201,MATCH(D128,'材料'!$A$2:$A$201,0))&lt;&gt;INDEX('任务登记'!$B$2:$B$201,MATCH(B128,'任务登记'!$A$2:$A$201,0)),"材料与任务跨案",IF(ISERROR(SEARCH(";"&amp;D128&amp;";",";"&amp;INDEX('任务登记'!$H$2:$H$201,MATCH(B128,'任务登记'!$A$2:$A$201,0))&amp;";")),"材料不在可见清单",IF(COUNTIF('要件与标签'!$D$23:$D$29,INDEX('材料'!$H$2:$H$201,MATCH(D128,'材料'!$A$2:$A$201,0)))&lt;&gt;1,"材料阶段无效",IF(COUNTIF('要件与标签'!$D$23:$D$29,INDEX('任务登记'!$G$2:$G$201,MATCH(B128,'任务登记'!$A$2:$A$201,0)))&lt;&gt;1,"任务阶段无效",IF(MATCH(INDEX('材料'!$H$2:$H$201,MATCH(D128,'材料'!$A$2:$A$201,0)),'要件与标签'!$D$23:$D$29,0)&gt;MATCH(INDEX('任务登记'!$G$2:$G$201,MATCH(B128,'任务登记'!$A$2:$A$201,0)),'要件与标签'!$D$23:$D$29,0),"引用未来材料",IF(AND(G128="REVISE",L128=""),"修订缺新记录",IF(AND(G128="PENDING",Q128=""),"待核缺实质冲突",IF(AND(H128="不受影响",G128&lt;&gt;"KEEP"),"核对范围与处置","字段齐备")))))))))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10" t="str">
        <x:f>IF(COUNTA(A129:Q129)=0,"",IF(OR(A129="",B129="",C129="",D129="",E129="",F129="",G129="",H129="",I129="",J129="",K129="",M129="",N129="",O129="",P129=""),"缺必填",IF(COUNTIF($A$2:$A$201,A129)&gt;1,"ID重复",IF(COUNTIF('任务登记'!$A$2:$A$201,B129)&lt;&gt;1,"任务ID无效",IF(COUNTIF('材料'!$A$2:$A$201,D129)&lt;&gt;1,"材料ID无效",IF(INDEX('材料'!$B$2:$B$201,MATCH(D129,'材料'!$A$2:$A$201,0))&lt;&gt;INDEX('任务登记'!$B$2:$B$201,MATCH(B129,'任务登记'!$A$2:$A$201,0)),"材料与任务跨案",IF(ISERROR(SEARCH(";"&amp;D129&amp;";",";"&amp;INDEX('任务登记'!$H$2:$H$201,MATCH(B129,'任务登记'!$A$2:$A$201,0))&amp;";")),"材料不在可见清单",IF(COUNTIF('要件与标签'!$D$23:$D$29,INDEX('材料'!$H$2:$H$201,MATCH(D129,'材料'!$A$2:$A$201,0)))&lt;&gt;1,"材料阶段无效",IF(COUNTIF('要件与标签'!$D$23:$D$29,INDEX('任务登记'!$G$2:$G$201,MATCH(B129,'任务登记'!$A$2:$A$201,0)))&lt;&gt;1,"任务阶段无效",IF(MATCH(INDEX('材料'!$H$2:$H$201,MATCH(D129,'材料'!$A$2:$A$201,0)),'要件与标签'!$D$23:$D$29,0)&gt;MATCH(INDEX('任务登记'!$G$2:$G$201,MATCH(B129,'任务登记'!$A$2:$A$201,0)),'要件与标签'!$D$23:$D$29,0),"引用未来材料",IF(AND(G129="REVISE",L129=""),"修订缺新记录",IF(AND(G129="PENDING",Q129=""),"待核缺实质冲突",IF(AND(H129="不受影响",G129&lt;&gt;"KEEP"),"核对范围与处置","字段齐备")))))))))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10" t="str">
        <x:f>IF(COUNTA(A130:Q130)=0,"",IF(OR(A130="",B130="",C130="",D130="",E130="",F130="",G130="",H130="",I130="",J130="",K130="",M130="",N130="",O130="",P130=""),"缺必填",IF(COUNTIF($A$2:$A$201,A130)&gt;1,"ID重复",IF(COUNTIF('任务登记'!$A$2:$A$201,B130)&lt;&gt;1,"任务ID无效",IF(COUNTIF('材料'!$A$2:$A$201,D130)&lt;&gt;1,"材料ID无效",IF(INDEX('材料'!$B$2:$B$201,MATCH(D130,'材料'!$A$2:$A$201,0))&lt;&gt;INDEX('任务登记'!$B$2:$B$201,MATCH(B130,'任务登记'!$A$2:$A$201,0)),"材料与任务跨案",IF(ISERROR(SEARCH(";"&amp;D130&amp;";",";"&amp;INDEX('任务登记'!$H$2:$H$201,MATCH(B130,'任务登记'!$A$2:$A$201,0))&amp;";")),"材料不在可见清单",IF(COUNTIF('要件与标签'!$D$23:$D$29,INDEX('材料'!$H$2:$H$201,MATCH(D130,'材料'!$A$2:$A$201,0)))&lt;&gt;1,"材料阶段无效",IF(COUNTIF('要件与标签'!$D$23:$D$29,INDEX('任务登记'!$G$2:$G$201,MATCH(B130,'任务登记'!$A$2:$A$201,0)))&lt;&gt;1,"任务阶段无效",IF(MATCH(INDEX('材料'!$H$2:$H$201,MATCH(D130,'材料'!$A$2:$A$201,0)),'要件与标签'!$D$23:$D$29,0)&gt;MATCH(INDEX('任务登记'!$G$2:$G$201,MATCH(B130,'任务登记'!$A$2:$A$201,0)),'要件与标签'!$D$23:$D$29,0),"引用未来材料",IF(AND(G130="REVISE",L130=""),"修订缺新记录",IF(AND(G130="PENDING",Q130=""),"待核缺实质冲突",IF(AND(H130="不受影响",G130&lt;&gt;"KEEP"),"核对范围与处置","字段齐备")))))))))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10" t="str">
        <x:f>IF(COUNTA(A131:Q131)=0,"",IF(OR(A131="",B131="",C131="",D131="",E131="",F131="",G131="",H131="",I131="",J131="",K131="",M131="",N131="",O131="",P131=""),"缺必填",IF(COUNTIF($A$2:$A$201,A131)&gt;1,"ID重复",IF(COUNTIF('任务登记'!$A$2:$A$201,B131)&lt;&gt;1,"任务ID无效",IF(COUNTIF('材料'!$A$2:$A$201,D131)&lt;&gt;1,"材料ID无效",IF(INDEX('材料'!$B$2:$B$201,MATCH(D131,'材料'!$A$2:$A$201,0))&lt;&gt;INDEX('任务登记'!$B$2:$B$201,MATCH(B131,'任务登记'!$A$2:$A$201,0)),"材料与任务跨案",IF(ISERROR(SEARCH(";"&amp;D131&amp;";",";"&amp;INDEX('任务登记'!$H$2:$H$201,MATCH(B131,'任务登记'!$A$2:$A$201,0))&amp;";")),"材料不在可见清单",IF(COUNTIF('要件与标签'!$D$23:$D$29,INDEX('材料'!$H$2:$H$201,MATCH(D131,'材料'!$A$2:$A$201,0)))&lt;&gt;1,"材料阶段无效",IF(COUNTIF('要件与标签'!$D$23:$D$29,INDEX('任务登记'!$G$2:$G$201,MATCH(B131,'任务登记'!$A$2:$A$201,0)))&lt;&gt;1,"任务阶段无效",IF(MATCH(INDEX('材料'!$H$2:$H$201,MATCH(D131,'材料'!$A$2:$A$201,0)),'要件与标签'!$D$23:$D$29,0)&gt;MATCH(INDEX('任务登记'!$G$2:$G$201,MATCH(B131,'任务登记'!$A$2:$A$201,0)),'要件与标签'!$D$23:$D$29,0),"引用未来材料",IF(AND(G131="REVISE",L131=""),"修订缺新记录",IF(AND(G131="PENDING",Q131=""),"待核缺实质冲突",IF(AND(H131="不受影响",G131&lt;&gt;"KEEP"),"核对范围与处置","字段齐备")))))))))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10" t="str">
        <x:f>IF(COUNTA(A132:Q132)=0,"",IF(OR(A132="",B132="",C132="",D132="",E132="",F132="",G132="",H132="",I132="",J132="",K132="",M132="",N132="",O132="",P132=""),"缺必填",IF(COUNTIF($A$2:$A$201,A132)&gt;1,"ID重复",IF(COUNTIF('任务登记'!$A$2:$A$201,B132)&lt;&gt;1,"任务ID无效",IF(COUNTIF('材料'!$A$2:$A$201,D132)&lt;&gt;1,"材料ID无效",IF(INDEX('材料'!$B$2:$B$201,MATCH(D132,'材料'!$A$2:$A$201,0))&lt;&gt;INDEX('任务登记'!$B$2:$B$201,MATCH(B132,'任务登记'!$A$2:$A$201,0)),"材料与任务跨案",IF(ISERROR(SEARCH(";"&amp;D132&amp;";",";"&amp;INDEX('任务登记'!$H$2:$H$201,MATCH(B132,'任务登记'!$A$2:$A$201,0))&amp;";")),"材料不在可见清单",IF(COUNTIF('要件与标签'!$D$23:$D$29,INDEX('材料'!$H$2:$H$201,MATCH(D132,'材料'!$A$2:$A$201,0)))&lt;&gt;1,"材料阶段无效",IF(COUNTIF('要件与标签'!$D$23:$D$29,INDEX('任务登记'!$G$2:$G$201,MATCH(B132,'任务登记'!$A$2:$A$201,0)))&lt;&gt;1,"任务阶段无效",IF(MATCH(INDEX('材料'!$H$2:$H$201,MATCH(D132,'材料'!$A$2:$A$201,0)),'要件与标签'!$D$23:$D$29,0)&gt;MATCH(INDEX('任务登记'!$G$2:$G$201,MATCH(B132,'任务登记'!$A$2:$A$201,0)),'要件与标签'!$D$23:$D$29,0),"引用未来材料",IF(AND(G132="REVISE",L132=""),"修订缺新记录",IF(AND(G132="PENDING",Q132=""),"待核缺实质冲突",IF(AND(H132="不受影响",G132&lt;&gt;"KEEP"),"核对范围与处置","字段齐备")))))))))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10" t="str">
        <x:f>IF(COUNTA(A133:Q133)=0,"",IF(OR(A133="",B133="",C133="",D133="",E133="",F133="",G133="",H133="",I133="",J133="",K133="",M133="",N133="",O133="",P133=""),"缺必填",IF(COUNTIF($A$2:$A$201,A133)&gt;1,"ID重复",IF(COUNTIF('任务登记'!$A$2:$A$201,B133)&lt;&gt;1,"任务ID无效",IF(COUNTIF('材料'!$A$2:$A$201,D133)&lt;&gt;1,"材料ID无效",IF(INDEX('材料'!$B$2:$B$201,MATCH(D133,'材料'!$A$2:$A$201,0))&lt;&gt;INDEX('任务登记'!$B$2:$B$201,MATCH(B133,'任务登记'!$A$2:$A$201,0)),"材料与任务跨案",IF(ISERROR(SEARCH(";"&amp;D133&amp;";",";"&amp;INDEX('任务登记'!$H$2:$H$201,MATCH(B133,'任务登记'!$A$2:$A$201,0))&amp;";")),"材料不在可见清单",IF(COUNTIF('要件与标签'!$D$23:$D$29,INDEX('材料'!$H$2:$H$201,MATCH(D133,'材料'!$A$2:$A$201,0)))&lt;&gt;1,"材料阶段无效",IF(COUNTIF('要件与标签'!$D$23:$D$29,INDEX('任务登记'!$G$2:$G$201,MATCH(B133,'任务登记'!$A$2:$A$201,0)))&lt;&gt;1,"任务阶段无效",IF(MATCH(INDEX('材料'!$H$2:$H$201,MATCH(D133,'材料'!$A$2:$A$201,0)),'要件与标签'!$D$23:$D$29,0)&gt;MATCH(INDEX('任务登记'!$G$2:$G$201,MATCH(B133,'任务登记'!$A$2:$A$201,0)),'要件与标签'!$D$23:$D$29,0),"引用未来材料",IF(AND(G133="REVISE",L133=""),"修订缺新记录",IF(AND(G133="PENDING",Q133=""),"待核缺实质冲突",IF(AND(H133="不受影响",G133&lt;&gt;"KEEP"),"核对范围与处置","字段齐备")))))))))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10" t="str">
        <x:f>IF(COUNTA(A134:Q134)=0,"",IF(OR(A134="",B134="",C134="",D134="",E134="",F134="",G134="",H134="",I134="",J134="",K134="",M134="",N134="",O134="",P134=""),"缺必填",IF(COUNTIF($A$2:$A$201,A134)&gt;1,"ID重复",IF(COUNTIF('任务登记'!$A$2:$A$201,B134)&lt;&gt;1,"任务ID无效",IF(COUNTIF('材料'!$A$2:$A$201,D134)&lt;&gt;1,"材料ID无效",IF(INDEX('材料'!$B$2:$B$201,MATCH(D134,'材料'!$A$2:$A$201,0))&lt;&gt;INDEX('任务登记'!$B$2:$B$201,MATCH(B134,'任务登记'!$A$2:$A$201,0)),"材料与任务跨案",IF(ISERROR(SEARCH(";"&amp;D134&amp;";",";"&amp;INDEX('任务登记'!$H$2:$H$201,MATCH(B134,'任务登记'!$A$2:$A$201,0))&amp;";")),"材料不在可见清单",IF(COUNTIF('要件与标签'!$D$23:$D$29,INDEX('材料'!$H$2:$H$201,MATCH(D134,'材料'!$A$2:$A$201,0)))&lt;&gt;1,"材料阶段无效",IF(COUNTIF('要件与标签'!$D$23:$D$29,INDEX('任务登记'!$G$2:$G$201,MATCH(B134,'任务登记'!$A$2:$A$201,0)))&lt;&gt;1,"任务阶段无效",IF(MATCH(INDEX('材料'!$H$2:$H$201,MATCH(D134,'材料'!$A$2:$A$201,0)),'要件与标签'!$D$23:$D$29,0)&gt;MATCH(INDEX('任务登记'!$G$2:$G$201,MATCH(B134,'任务登记'!$A$2:$A$201,0)),'要件与标签'!$D$23:$D$29,0),"引用未来材料",IF(AND(G134="REVISE",L134=""),"修订缺新记录",IF(AND(G134="PENDING",Q134=""),"待核缺实质冲突",IF(AND(H134="不受影响",G134&lt;&gt;"KEEP"),"核对范围与处置","字段齐备")))))))))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10" t="str">
        <x:f>IF(COUNTA(A135:Q135)=0,"",IF(OR(A135="",B135="",C135="",D135="",E135="",F135="",G135="",H135="",I135="",J135="",K135="",M135="",N135="",O135="",P135=""),"缺必填",IF(COUNTIF($A$2:$A$201,A135)&gt;1,"ID重复",IF(COUNTIF('任务登记'!$A$2:$A$201,B135)&lt;&gt;1,"任务ID无效",IF(COUNTIF('材料'!$A$2:$A$201,D135)&lt;&gt;1,"材料ID无效",IF(INDEX('材料'!$B$2:$B$201,MATCH(D135,'材料'!$A$2:$A$201,0))&lt;&gt;INDEX('任务登记'!$B$2:$B$201,MATCH(B135,'任务登记'!$A$2:$A$201,0)),"材料与任务跨案",IF(ISERROR(SEARCH(";"&amp;D135&amp;";",";"&amp;INDEX('任务登记'!$H$2:$H$201,MATCH(B135,'任务登记'!$A$2:$A$201,0))&amp;";")),"材料不在可见清单",IF(COUNTIF('要件与标签'!$D$23:$D$29,INDEX('材料'!$H$2:$H$201,MATCH(D135,'材料'!$A$2:$A$201,0)))&lt;&gt;1,"材料阶段无效",IF(COUNTIF('要件与标签'!$D$23:$D$29,INDEX('任务登记'!$G$2:$G$201,MATCH(B135,'任务登记'!$A$2:$A$201,0)))&lt;&gt;1,"任务阶段无效",IF(MATCH(INDEX('材料'!$H$2:$H$201,MATCH(D135,'材料'!$A$2:$A$201,0)),'要件与标签'!$D$23:$D$29,0)&gt;MATCH(INDEX('任务登记'!$G$2:$G$201,MATCH(B135,'任务登记'!$A$2:$A$201,0)),'要件与标签'!$D$23:$D$29,0),"引用未来材料",IF(AND(G135="REVISE",L135=""),"修订缺新记录",IF(AND(G135="PENDING",Q135=""),"待核缺实质冲突",IF(AND(H135="不受影响",G135&lt;&gt;"KEEP"),"核对范围与处置","字段齐备")))))))))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10" t="str">
        <x:f>IF(COUNTA(A136:Q136)=0,"",IF(OR(A136="",B136="",C136="",D136="",E136="",F136="",G136="",H136="",I136="",J136="",K136="",M136="",N136="",O136="",P136=""),"缺必填",IF(COUNTIF($A$2:$A$201,A136)&gt;1,"ID重复",IF(COUNTIF('任务登记'!$A$2:$A$201,B136)&lt;&gt;1,"任务ID无效",IF(COUNTIF('材料'!$A$2:$A$201,D136)&lt;&gt;1,"材料ID无效",IF(INDEX('材料'!$B$2:$B$201,MATCH(D136,'材料'!$A$2:$A$201,0))&lt;&gt;INDEX('任务登记'!$B$2:$B$201,MATCH(B136,'任务登记'!$A$2:$A$201,0)),"材料与任务跨案",IF(ISERROR(SEARCH(";"&amp;D136&amp;";",";"&amp;INDEX('任务登记'!$H$2:$H$201,MATCH(B136,'任务登记'!$A$2:$A$201,0))&amp;";")),"材料不在可见清单",IF(COUNTIF('要件与标签'!$D$23:$D$29,INDEX('材料'!$H$2:$H$201,MATCH(D136,'材料'!$A$2:$A$201,0)))&lt;&gt;1,"材料阶段无效",IF(COUNTIF('要件与标签'!$D$23:$D$29,INDEX('任务登记'!$G$2:$G$201,MATCH(B136,'任务登记'!$A$2:$A$201,0)))&lt;&gt;1,"任务阶段无效",IF(MATCH(INDEX('材料'!$H$2:$H$201,MATCH(D136,'材料'!$A$2:$A$201,0)),'要件与标签'!$D$23:$D$29,0)&gt;MATCH(INDEX('任务登记'!$G$2:$G$201,MATCH(B136,'任务登记'!$A$2:$A$201,0)),'要件与标签'!$D$23:$D$29,0),"引用未来材料",IF(AND(G136="REVISE",L136=""),"修订缺新记录",IF(AND(G136="PENDING",Q136=""),"待核缺实质冲突",IF(AND(H136="不受影响",G136&lt;&gt;"KEEP"),"核对范围与处置","字段齐备")))))))))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10" t="str">
        <x:f>IF(COUNTA(A137:Q137)=0,"",IF(OR(A137="",B137="",C137="",D137="",E137="",F137="",G137="",H137="",I137="",J137="",K137="",M137="",N137="",O137="",P137=""),"缺必填",IF(COUNTIF($A$2:$A$201,A137)&gt;1,"ID重复",IF(COUNTIF('任务登记'!$A$2:$A$201,B137)&lt;&gt;1,"任务ID无效",IF(COUNTIF('材料'!$A$2:$A$201,D137)&lt;&gt;1,"材料ID无效",IF(INDEX('材料'!$B$2:$B$201,MATCH(D137,'材料'!$A$2:$A$201,0))&lt;&gt;INDEX('任务登记'!$B$2:$B$201,MATCH(B137,'任务登记'!$A$2:$A$201,0)),"材料与任务跨案",IF(ISERROR(SEARCH(";"&amp;D137&amp;";",";"&amp;INDEX('任务登记'!$H$2:$H$201,MATCH(B137,'任务登记'!$A$2:$A$201,0))&amp;";")),"材料不在可见清单",IF(COUNTIF('要件与标签'!$D$23:$D$29,INDEX('材料'!$H$2:$H$201,MATCH(D137,'材料'!$A$2:$A$201,0)))&lt;&gt;1,"材料阶段无效",IF(COUNTIF('要件与标签'!$D$23:$D$29,INDEX('任务登记'!$G$2:$G$201,MATCH(B137,'任务登记'!$A$2:$A$201,0)))&lt;&gt;1,"任务阶段无效",IF(MATCH(INDEX('材料'!$H$2:$H$201,MATCH(D137,'材料'!$A$2:$A$201,0)),'要件与标签'!$D$23:$D$29,0)&gt;MATCH(INDEX('任务登记'!$G$2:$G$201,MATCH(B137,'任务登记'!$A$2:$A$201,0)),'要件与标签'!$D$23:$D$29,0),"引用未来材料",IF(AND(G137="REVISE",L137=""),"修订缺新记录",IF(AND(G137="PENDING",Q137=""),"待核缺实质冲突",IF(AND(H137="不受影响",G137&lt;&gt;"KEEP"),"核对范围与处置","字段齐备")))))))))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10" t="str">
        <x:f>IF(COUNTA(A138:Q138)=0,"",IF(OR(A138="",B138="",C138="",D138="",E138="",F138="",G138="",H138="",I138="",J138="",K138="",M138="",N138="",O138="",P138=""),"缺必填",IF(COUNTIF($A$2:$A$201,A138)&gt;1,"ID重复",IF(COUNTIF('任务登记'!$A$2:$A$201,B138)&lt;&gt;1,"任务ID无效",IF(COUNTIF('材料'!$A$2:$A$201,D138)&lt;&gt;1,"材料ID无效",IF(INDEX('材料'!$B$2:$B$201,MATCH(D138,'材料'!$A$2:$A$201,0))&lt;&gt;INDEX('任务登记'!$B$2:$B$201,MATCH(B138,'任务登记'!$A$2:$A$201,0)),"材料与任务跨案",IF(ISERROR(SEARCH(";"&amp;D138&amp;";",";"&amp;INDEX('任务登记'!$H$2:$H$201,MATCH(B138,'任务登记'!$A$2:$A$201,0))&amp;";")),"材料不在可见清单",IF(COUNTIF('要件与标签'!$D$23:$D$29,INDEX('材料'!$H$2:$H$201,MATCH(D138,'材料'!$A$2:$A$201,0)))&lt;&gt;1,"材料阶段无效",IF(COUNTIF('要件与标签'!$D$23:$D$29,INDEX('任务登记'!$G$2:$G$201,MATCH(B138,'任务登记'!$A$2:$A$201,0)))&lt;&gt;1,"任务阶段无效",IF(MATCH(INDEX('材料'!$H$2:$H$201,MATCH(D138,'材料'!$A$2:$A$201,0)),'要件与标签'!$D$23:$D$29,0)&gt;MATCH(INDEX('任务登记'!$G$2:$G$201,MATCH(B138,'任务登记'!$A$2:$A$201,0)),'要件与标签'!$D$23:$D$29,0),"引用未来材料",IF(AND(G138="REVISE",L138=""),"修订缺新记录",IF(AND(G138="PENDING",Q138=""),"待核缺实质冲突",IF(AND(H138="不受影响",G138&lt;&gt;"KEEP"),"核对范围与处置","字段齐备")))))))))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10" t="str">
        <x:f>IF(COUNTA(A139:Q139)=0,"",IF(OR(A139="",B139="",C139="",D139="",E139="",F139="",G139="",H139="",I139="",J139="",K139="",M139="",N139="",O139="",P139=""),"缺必填",IF(COUNTIF($A$2:$A$201,A139)&gt;1,"ID重复",IF(COUNTIF('任务登记'!$A$2:$A$201,B139)&lt;&gt;1,"任务ID无效",IF(COUNTIF('材料'!$A$2:$A$201,D139)&lt;&gt;1,"材料ID无效",IF(INDEX('材料'!$B$2:$B$201,MATCH(D139,'材料'!$A$2:$A$201,0))&lt;&gt;INDEX('任务登记'!$B$2:$B$201,MATCH(B139,'任务登记'!$A$2:$A$201,0)),"材料与任务跨案",IF(ISERROR(SEARCH(";"&amp;D139&amp;";",";"&amp;INDEX('任务登记'!$H$2:$H$201,MATCH(B139,'任务登记'!$A$2:$A$201,0))&amp;";")),"材料不在可见清单",IF(COUNTIF('要件与标签'!$D$23:$D$29,INDEX('材料'!$H$2:$H$201,MATCH(D139,'材料'!$A$2:$A$201,0)))&lt;&gt;1,"材料阶段无效",IF(COUNTIF('要件与标签'!$D$23:$D$29,INDEX('任务登记'!$G$2:$G$201,MATCH(B139,'任务登记'!$A$2:$A$201,0)))&lt;&gt;1,"任务阶段无效",IF(MATCH(INDEX('材料'!$H$2:$H$201,MATCH(D139,'材料'!$A$2:$A$201,0)),'要件与标签'!$D$23:$D$29,0)&gt;MATCH(INDEX('任务登记'!$G$2:$G$201,MATCH(B139,'任务登记'!$A$2:$A$201,0)),'要件与标签'!$D$23:$D$29,0),"引用未来材料",IF(AND(G139="REVISE",L139=""),"修订缺新记录",IF(AND(G139="PENDING",Q139=""),"待核缺实质冲突",IF(AND(H139="不受影响",G139&lt;&gt;"KEEP"),"核对范围与处置","字段齐备")))))))))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10" t="str">
        <x:f>IF(COUNTA(A140:Q140)=0,"",IF(OR(A140="",B140="",C140="",D140="",E140="",F140="",G140="",H140="",I140="",J140="",K140="",M140="",N140="",O140="",P140=""),"缺必填",IF(COUNTIF($A$2:$A$201,A140)&gt;1,"ID重复",IF(COUNTIF('任务登记'!$A$2:$A$201,B140)&lt;&gt;1,"任务ID无效",IF(COUNTIF('材料'!$A$2:$A$201,D140)&lt;&gt;1,"材料ID无效",IF(INDEX('材料'!$B$2:$B$201,MATCH(D140,'材料'!$A$2:$A$201,0))&lt;&gt;INDEX('任务登记'!$B$2:$B$201,MATCH(B140,'任务登记'!$A$2:$A$201,0)),"材料与任务跨案",IF(ISERROR(SEARCH(";"&amp;D140&amp;";",";"&amp;INDEX('任务登记'!$H$2:$H$201,MATCH(B140,'任务登记'!$A$2:$A$201,0))&amp;";")),"材料不在可见清单",IF(COUNTIF('要件与标签'!$D$23:$D$29,INDEX('材料'!$H$2:$H$201,MATCH(D140,'材料'!$A$2:$A$201,0)))&lt;&gt;1,"材料阶段无效",IF(COUNTIF('要件与标签'!$D$23:$D$29,INDEX('任务登记'!$G$2:$G$201,MATCH(B140,'任务登记'!$A$2:$A$201,0)))&lt;&gt;1,"任务阶段无效",IF(MATCH(INDEX('材料'!$H$2:$H$201,MATCH(D140,'材料'!$A$2:$A$201,0)),'要件与标签'!$D$23:$D$29,0)&gt;MATCH(INDEX('任务登记'!$G$2:$G$201,MATCH(B140,'任务登记'!$A$2:$A$201,0)),'要件与标签'!$D$23:$D$29,0),"引用未来材料",IF(AND(G140="REVISE",L140=""),"修订缺新记录",IF(AND(G140="PENDING",Q140=""),"待核缺实质冲突",IF(AND(H140="不受影响",G140&lt;&gt;"KEEP"),"核对范围与处置","字段齐备")))))))))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10" t="str">
        <x:f>IF(COUNTA(A141:Q141)=0,"",IF(OR(A141="",B141="",C141="",D141="",E141="",F141="",G141="",H141="",I141="",J141="",K141="",M141="",N141="",O141="",P141=""),"缺必填",IF(COUNTIF($A$2:$A$201,A141)&gt;1,"ID重复",IF(COUNTIF('任务登记'!$A$2:$A$201,B141)&lt;&gt;1,"任务ID无效",IF(COUNTIF('材料'!$A$2:$A$201,D141)&lt;&gt;1,"材料ID无效",IF(INDEX('材料'!$B$2:$B$201,MATCH(D141,'材料'!$A$2:$A$201,0))&lt;&gt;INDEX('任务登记'!$B$2:$B$201,MATCH(B141,'任务登记'!$A$2:$A$201,0)),"材料与任务跨案",IF(ISERROR(SEARCH(";"&amp;D141&amp;";",";"&amp;INDEX('任务登记'!$H$2:$H$201,MATCH(B141,'任务登记'!$A$2:$A$201,0))&amp;";")),"材料不在可见清单",IF(COUNTIF('要件与标签'!$D$23:$D$29,INDEX('材料'!$H$2:$H$201,MATCH(D141,'材料'!$A$2:$A$201,0)))&lt;&gt;1,"材料阶段无效",IF(COUNTIF('要件与标签'!$D$23:$D$29,INDEX('任务登记'!$G$2:$G$201,MATCH(B141,'任务登记'!$A$2:$A$201,0)))&lt;&gt;1,"任务阶段无效",IF(MATCH(INDEX('材料'!$H$2:$H$201,MATCH(D141,'材料'!$A$2:$A$201,0)),'要件与标签'!$D$23:$D$29,0)&gt;MATCH(INDEX('任务登记'!$G$2:$G$201,MATCH(B141,'任务登记'!$A$2:$A$201,0)),'要件与标签'!$D$23:$D$29,0),"引用未来材料",IF(AND(G141="REVISE",L141=""),"修订缺新记录",IF(AND(G141="PENDING",Q141=""),"待核缺实质冲突",IF(AND(H141="不受影响",G141&lt;&gt;"KEEP"),"核对范围与处置","字段齐备")))))))))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10" t="str">
        <x:f>IF(COUNTA(A142:Q142)=0,"",IF(OR(A142="",B142="",C142="",D142="",E142="",F142="",G142="",H142="",I142="",J142="",K142="",M142="",N142="",O142="",P142=""),"缺必填",IF(COUNTIF($A$2:$A$201,A142)&gt;1,"ID重复",IF(COUNTIF('任务登记'!$A$2:$A$201,B142)&lt;&gt;1,"任务ID无效",IF(COUNTIF('材料'!$A$2:$A$201,D142)&lt;&gt;1,"材料ID无效",IF(INDEX('材料'!$B$2:$B$201,MATCH(D142,'材料'!$A$2:$A$201,0))&lt;&gt;INDEX('任务登记'!$B$2:$B$201,MATCH(B142,'任务登记'!$A$2:$A$201,0)),"材料与任务跨案",IF(ISERROR(SEARCH(";"&amp;D142&amp;";",";"&amp;INDEX('任务登记'!$H$2:$H$201,MATCH(B142,'任务登记'!$A$2:$A$201,0))&amp;";")),"材料不在可见清单",IF(COUNTIF('要件与标签'!$D$23:$D$29,INDEX('材料'!$H$2:$H$201,MATCH(D142,'材料'!$A$2:$A$201,0)))&lt;&gt;1,"材料阶段无效",IF(COUNTIF('要件与标签'!$D$23:$D$29,INDEX('任务登记'!$G$2:$G$201,MATCH(B142,'任务登记'!$A$2:$A$201,0)))&lt;&gt;1,"任务阶段无效",IF(MATCH(INDEX('材料'!$H$2:$H$201,MATCH(D142,'材料'!$A$2:$A$201,0)),'要件与标签'!$D$23:$D$29,0)&gt;MATCH(INDEX('任务登记'!$G$2:$G$201,MATCH(B142,'任务登记'!$A$2:$A$201,0)),'要件与标签'!$D$23:$D$29,0),"引用未来材料",IF(AND(G142="REVISE",L142=""),"修订缺新记录",IF(AND(G142="PENDING",Q142=""),"待核缺实质冲突",IF(AND(H142="不受影响",G142&lt;&gt;"KEEP"),"核对范围与处置","字段齐备")))))))))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10" t="str">
        <x:f>IF(COUNTA(A143:Q143)=0,"",IF(OR(A143="",B143="",C143="",D143="",E143="",F143="",G143="",H143="",I143="",J143="",K143="",M143="",N143="",O143="",P143=""),"缺必填",IF(COUNTIF($A$2:$A$201,A143)&gt;1,"ID重复",IF(COUNTIF('任务登记'!$A$2:$A$201,B143)&lt;&gt;1,"任务ID无效",IF(COUNTIF('材料'!$A$2:$A$201,D143)&lt;&gt;1,"材料ID无效",IF(INDEX('材料'!$B$2:$B$201,MATCH(D143,'材料'!$A$2:$A$201,0))&lt;&gt;INDEX('任务登记'!$B$2:$B$201,MATCH(B143,'任务登记'!$A$2:$A$201,0)),"材料与任务跨案",IF(ISERROR(SEARCH(";"&amp;D143&amp;";",";"&amp;INDEX('任务登记'!$H$2:$H$201,MATCH(B143,'任务登记'!$A$2:$A$201,0))&amp;";")),"材料不在可见清单",IF(COUNTIF('要件与标签'!$D$23:$D$29,INDEX('材料'!$H$2:$H$201,MATCH(D143,'材料'!$A$2:$A$201,0)))&lt;&gt;1,"材料阶段无效",IF(COUNTIF('要件与标签'!$D$23:$D$29,INDEX('任务登记'!$G$2:$G$201,MATCH(B143,'任务登记'!$A$2:$A$201,0)))&lt;&gt;1,"任务阶段无效",IF(MATCH(INDEX('材料'!$H$2:$H$201,MATCH(D143,'材料'!$A$2:$A$201,0)),'要件与标签'!$D$23:$D$29,0)&gt;MATCH(INDEX('任务登记'!$G$2:$G$201,MATCH(B143,'任务登记'!$A$2:$A$201,0)),'要件与标签'!$D$23:$D$29,0),"引用未来材料",IF(AND(G143="REVISE",L143=""),"修订缺新记录",IF(AND(G143="PENDING",Q143=""),"待核缺实质冲突",IF(AND(H143="不受影响",G143&lt;&gt;"KEEP"),"核对范围与处置","字段齐备")))))))))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10" t="str">
        <x:f>IF(COUNTA(A144:Q144)=0,"",IF(OR(A144="",B144="",C144="",D144="",E144="",F144="",G144="",H144="",I144="",J144="",K144="",M144="",N144="",O144="",P144=""),"缺必填",IF(COUNTIF($A$2:$A$201,A144)&gt;1,"ID重复",IF(COUNTIF('任务登记'!$A$2:$A$201,B144)&lt;&gt;1,"任务ID无效",IF(COUNTIF('材料'!$A$2:$A$201,D144)&lt;&gt;1,"材料ID无效",IF(INDEX('材料'!$B$2:$B$201,MATCH(D144,'材料'!$A$2:$A$201,0))&lt;&gt;INDEX('任务登记'!$B$2:$B$201,MATCH(B144,'任务登记'!$A$2:$A$201,0)),"材料与任务跨案",IF(ISERROR(SEARCH(";"&amp;D144&amp;";",";"&amp;INDEX('任务登记'!$H$2:$H$201,MATCH(B144,'任务登记'!$A$2:$A$201,0))&amp;";")),"材料不在可见清单",IF(COUNTIF('要件与标签'!$D$23:$D$29,INDEX('材料'!$H$2:$H$201,MATCH(D144,'材料'!$A$2:$A$201,0)))&lt;&gt;1,"材料阶段无效",IF(COUNTIF('要件与标签'!$D$23:$D$29,INDEX('任务登记'!$G$2:$G$201,MATCH(B144,'任务登记'!$A$2:$A$201,0)))&lt;&gt;1,"任务阶段无效",IF(MATCH(INDEX('材料'!$H$2:$H$201,MATCH(D144,'材料'!$A$2:$A$201,0)),'要件与标签'!$D$23:$D$29,0)&gt;MATCH(INDEX('任务登记'!$G$2:$G$201,MATCH(B144,'任务登记'!$A$2:$A$201,0)),'要件与标签'!$D$23:$D$29,0),"引用未来材料",IF(AND(G144="REVISE",L144=""),"修订缺新记录",IF(AND(G144="PENDING",Q144=""),"待核缺实质冲突",IF(AND(H144="不受影响",G144&lt;&gt;"KEEP"),"核对范围与处置","字段齐备")))))))))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10" t="str">
        <x:f>IF(COUNTA(A145:Q145)=0,"",IF(OR(A145="",B145="",C145="",D145="",E145="",F145="",G145="",H145="",I145="",J145="",K145="",M145="",N145="",O145="",P145=""),"缺必填",IF(COUNTIF($A$2:$A$201,A145)&gt;1,"ID重复",IF(COUNTIF('任务登记'!$A$2:$A$201,B145)&lt;&gt;1,"任务ID无效",IF(COUNTIF('材料'!$A$2:$A$201,D145)&lt;&gt;1,"材料ID无效",IF(INDEX('材料'!$B$2:$B$201,MATCH(D145,'材料'!$A$2:$A$201,0))&lt;&gt;INDEX('任务登记'!$B$2:$B$201,MATCH(B145,'任务登记'!$A$2:$A$201,0)),"材料与任务跨案",IF(ISERROR(SEARCH(";"&amp;D145&amp;";",";"&amp;INDEX('任务登记'!$H$2:$H$201,MATCH(B145,'任务登记'!$A$2:$A$201,0))&amp;";")),"材料不在可见清单",IF(COUNTIF('要件与标签'!$D$23:$D$29,INDEX('材料'!$H$2:$H$201,MATCH(D145,'材料'!$A$2:$A$201,0)))&lt;&gt;1,"材料阶段无效",IF(COUNTIF('要件与标签'!$D$23:$D$29,INDEX('任务登记'!$G$2:$G$201,MATCH(B145,'任务登记'!$A$2:$A$201,0)))&lt;&gt;1,"任务阶段无效",IF(MATCH(INDEX('材料'!$H$2:$H$201,MATCH(D145,'材料'!$A$2:$A$201,0)),'要件与标签'!$D$23:$D$29,0)&gt;MATCH(INDEX('任务登记'!$G$2:$G$201,MATCH(B145,'任务登记'!$A$2:$A$201,0)),'要件与标签'!$D$23:$D$29,0),"引用未来材料",IF(AND(G145="REVISE",L145=""),"修订缺新记录",IF(AND(G145="PENDING",Q145=""),"待核缺实质冲突",IF(AND(H145="不受影响",G145&lt;&gt;"KEEP"),"核对范围与处置","字段齐备")))))))))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10" t="str">
        <x:f>IF(COUNTA(A146:Q146)=0,"",IF(OR(A146="",B146="",C146="",D146="",E146="",F146="",G146="",H146="",I146="",J146="",K146="",M146="",N146="",O146="",P146=""),"缺必填",IF(COUNTIF($A$2:$A$201,A146)&gt;1,"ID重复",IF(COUNTIF('任务登记'!$A$2:$A$201,B146)&lt;&gt;1,"任务ID无效",IF(COUNTIF('材料'!$A$2:$A$201,D146)&lt;&gt;1,"材料ID无效",IF(INDEX('材料'!$B$2:$B$201,MATCH(D146,'材料'!$A$2:$A$201,0))&lt;&gt;INDEX('任务登记'!$B$2:$B$201,MATCH(B146,'任务登记'!$A$2:$A$201,0)),"材料与任务跨案",IF(ISERROR(SEARCH(";"&amp;D146&amp;";",";"&amp;INDEX('任务登记'!$H$2:$H$201,MATCH(B146,'任务登记'!$A$2:$A$201,0))&amp;";")),"材料不在可见清单",IF(COUNTIF('要件与标签'!$D$23:$D$29,INDEX('材料'!$H$2:$H$201,MATCH(D146,'材料'!$A$2:$A$201,0)))&lt;&gt;1,"材料阶段无效",IF(COUNTIF('要件与标签'!$D$23:$D$29,INDEX('任务登记'!$G$2:$G$201,MATCH(B146,'任务登记'!$A$2:$A$201,0)))&lt;&gt;1,"任务阶段无效",IF(MATCH(INDEX('材料'!$H$2:$H$201,MATCH(D146,'材料'!$A$2:$A$201,0)),'要件与标签'!$D$23:$D$29,0)&gt;MATCH(INDEX('任务登记'!$G$2:$G$201,MATCH(B146,'任务登记'!$A$2:$A$201,0)),'要件与标签'!$D$23:$D$29,0),"引用未来材料",IF(AND(G146="REVISE",L146=""),"修订缺新记录",IF(AND(G146="PENDING",Q146=""),"待核缺实质冲突",IF(AND(H146="不受影响",G146&lt;&gt;"KEEP"),"核对范围与处置","字段齐备")))))))))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10" t="str">
        <x:f>IF(COUNTA(A147:Q147)=0,"",IF(OR(A147="",B147="",C147="",D147="",E147="",F147="",G147="",H147="",I147="",J147="",K147="",M147="",N147="",O147="",P147=""),"缺必填",IF(COUNTIF($A$2:$A$201,A147)&gt;1,"ID重复",IF(COUNTIF('任务登记'!$A$2:$A$201,B147)&lt;&gt;1,"任务ID无效",IF(COUNTIF('材料'!$A$2:$A$201,D147)&lt;&gt;1,"材料ID无效",IF(INDEX('材料'!$B$2:$B$201,MATCH(D147,'材料'!$A$2:$A$201,0))&lt;&gt;INDEX('任务登记'!$B$2:$B$201,MATCH(B147,'任务登记'!$A$2:$A$201,0)),"材料与任务跨案",IF(ISERROR(SEARCH(";"&amp;D147&amp;";",";"&amp;INDEX('任务登记'!$H$2:$H$201,MATCH(B147,'任务登记'!$A$2:$A$201,0))&amp;";")),"材料不在可见清单",IF(COUNTIF('要件与标签'!$D$23:$D$29,INDEX('材料'!$H$2:$H$201,MATCH(D147,'材料'!$A$2:$A$201,0)))&lt;&gt;1,"材料阶段无效",IF(COUNTIF('要件与标签'!$D$23:$D$29,INDEX('任务登记'!$G$2:$G$201,MATCH(B147,'任务登记'!$A$2:$A$201,0)))&lt;&gt;1,"任务阶段无效",IF(MATCH(INDEX('材料'!$H$2:$H$201,MATCH(D147,'材料'!$A$2:$A$201,0)),'要件与标签'!$D$23:$D$29,0)&gt;MATCH(INDEX('任务登记'!$G$2:$G$201,MATCH(B147,'任务登记'!$A$2:$A$201,0)),'要件与标签'!$D$23:$D$29,0),"引用未来材料",IF(AND(G147="REVISE",L147=""),"修订缺新记录",IF(AND(G147="PENDING",Q147=""),"待核缺实质冲突",IF(AND(H147="不受影响",G147&lt;&gt;"KEEP"),"核对范围与处置","字段齐备")))))))))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10" t="str">
        <x:f>IF(COUNTA(A148:Q148)=0,"",IF(OR(A148="",B148="",C148="",D148="",E148="",F148="",G148="",H148="",I148="",J148="",K148="",M148="",N148="",O148="",P148=""),"缺必填",IF(COUNTIF($A$2:$A$201,A148)&gt;1,"ID重复",IF(COUNTIF('任务登记'!$A$2:$A$201,B148)&lt;&gt;1,"任务ID无效",IF(COUNTIF('材料'!$A$2:$A$201,D148)&lt;&gt;1,"材料ID无效",IF(INDEX('材料'!$B$2:$B$201,MATCH(D148,'材料'!$A$2:$A$201,0))&lt;&gt;INDEX('任务登记'!$B$2:$B$201,MATCH(B148,'任务登记'!$A$2:$A$201,0)),"材料与任务跨案",IF(ISERROR(SEARCH(";"&amp;D148&amp;";",";"&amp;INDEX('任务登记'!$H$2:$H$201,MATCH(B148,'任务登记'!$A$2:$A$201,0))&amp;";")),"材料不在可见清单",IF(COUNTIF('要件与标签'!$D$23:$D$29,INDEX('材料'!$H$2:$H$201,MATCH(D148,'材料'!$A$2:$A$201,0)))&lt;&gt;1,"材料阶段无效",IF(COUNTIF('要件与标签'!$D$23:$D$29,INDEX('任务登记'!$G$2:$G$201,MATCH(B148,'任务登记'!$A$2:$A$201,0)))&lt;&gt;1,"任务阶段无效",IF(MATCH(INDEX('材料'!$H$2:$H$201,MATCH(D148,'材料'!$A$2:$A$201,0)),'要件与标签'!$D$23:$D$29,0)&gt;MATCH(INDEX('任务登记'!$G$2:$G$201,MATCH(B148,'任务登记'!$A$2:$A$201,0)),'要件与标签'!$D$23:$D$29,0),"引用未来材料",IF(AND(G148="REVISE",L148=""),"修订缺新记录",IF(AND(G148="PENDING",Q148=""),"待核缺实质冲突",IF(AND(H148="不受影响",G148&lt;&gt;"KEEP"),"核对范围与处置","字段齐备")))))))))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10" t="str">
        <x:f>IF(COUNTA(A149:Q149)=0,"",IF(OR(A149="",B149="",C149="",D149="",E149="",F149="",G149="",H149="",I149="",J149="",K149="",M149="",N149="",O149="",P149=""),"缺必填",IF(COUNTIF($A$2:$A$201,A149)&gt;1,"ID重复",IF(COUNTIF('任务登记'!$A$2:$A$201,B149)&lt;&gt;1,"任务ID无效",IF(COUNTIF('材料'!$A$2:$A$201,D149)&lt;&gt;1,"材料ID无效",IF(INDEX('材料'!$B$2:$B$201,MATCH(D149,'材料'!$A$2:$A$201,0))&lt;&gt;INDEX('任务登记'!$B$2:$B$201,MATCH(B149,'任务登记'!$A$2:$A$201,0)),"材料与任务跨案",IF(ISERROR(SEARCH(";"&amp;D149&amp;";",";"&amp;INDEX('任务登记'!$H$2:$H$201,MATCH(B149,'任务登记'!$A$2:$A$201,0))&amp;";")),"材料不在可见清单",IF(COUNTIF('要件与标签'!$D$23:$D$29,INDEX('材料'!$H$2:$H$201,MATCH(D149,'材料'!$A$2:$A$201,0)))&lt;&gt;1,"材料阶段无效",IF(COUNTIF('要件与标签'!$D$23:$D$29,INDEX('任务登记'!$G$2:$G$201,MATCH(B149,'任务登记'!$A$2:$A$201,0)))&lt;&gt;1,"任务阶段无效",IF(MATCH(INDEX('材料'!$H$2:$H$201,MATCH(D149,'材料'!$A$2:$A$201,0)),'要件与标签'!$D$23:$D$29,0)&gt;MATCH(INDEX('任务登记'!$G$2:$G$201,MATCH(B149,'任务登记'!$A$2:$A$201,0)),'要件与标签'!$D$23:$D$29,0),"引用未来材料",IF(AND(G149="REVISE",L149=""),"修订缺新记录",IF(AND(G149="PENDING",Q149=""),"待核缺实质冲突",IF(AND(H149="不受影响",G149&lt;&gt;"KEEP"),"核对范围与处置","字段齐备")))))))))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10" t="str">
        <x:f>IF(COUNTA(A150:Q150)=0,"",IF(OR(A150="",B150="",C150="",D150="",E150="",F150="",G150="",H150="",I150="",J150="",K150="",M150="",N150="",O150="",P150=""),"缺必填",IF(COUNTIF($A$2:$A$201,A150)&gt;1,"ID重复",IF(COUNTIF('任务登记'!$A$2:$A$201,B150)&lt;&gt;1,"任务ID无效",IF(COUNTIF('材料'!$A$2:$A$201,D150)&lt;&gt;1,"材料ID无效",IF(INDEX('材料'!$B$2:$B$201,MATCH(D150,'材料'!$A$2:$A$201,0))&lt;&gt;INDEX('任务登记'!$B$2:$B$201,MATCH(B150,'任务登记'!$A$2:$A$201,0)),"材料与任务跨案",IF(ISERROR(SEARCH(";"&amp;D150&amp;";",";"&amp;INDEX('任务登记'!$H$2:$H$201,MATCH(B150,'任务登记'!$A$2:$A$201,0))&amp;";")),"材料不在可见清单",IF(COUNTIF('要件与标签'!$D$23:$D$29,INDEX('材料'!$H$2:$H$201,MATCH(D150,'材料'!$A$2:$A$201,0)))&lt;&gt;1,"材料阶段无效",IF(COUNTIF('要件与标签'!$D$23:$D$29,INDEX('任务登记'!$G$2:$G$201,MATCH(B150,'任务登记'!$A$2:$A$201,0)))&lt;&gt;1,"任务阶段无效",IF(MATCH(INDEX('材料'!$H$2:$H$201,MATCH(D150,'材料'!$A$2:$A$201,0)),'要件与标签'!$D$23:$D$29,0)&gt;MATCH(INDEX('任务登记'!$G$2:$G$201,MATCH(B150,'任务登记'!$A$2:$A$201,0)),'要件与标签'!$D$23:$D$29,0),"引用未来材料",IF(AND(G150="REVISE",L150=""),"修订缺新记录",IF(AND(G150="PENDING",Q150=""),"待核缺实质冲突",IF(AND(H150="不受影响",G150&lt;&gt;"KEEP"),"核对范围与处置","字段齐备")))))))))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10" t="str">
        <x:f>IF(COUNTA(A151:Q151)=0,"",IF(OR(A151="",B151="",C151="",D151="",E151="",F151="",G151="",H151="",I151="",J151="",K151="",M151="",N151="",O151="",P151=""),"缺必填",IF(COUNTIF($A$2:$A$201,A151)&gt;1,"ID重复",IF(COUNTIF('任务登记'!$A$2:$A$201,B151)&lt;&gt;1,"任务ID无效",IF(COUNTIF('材料'!$A$2:$A$201,D151)&lt;&gt;1,"材料ID无效",IF(INDEX('材料'!$B$2:$B$201,MATCH(D151,'材料'!$A$2:$A$201,0))&lt;&gt;INDEX('任务登记'!$B$2:$B$201,MATCH(B151,'任务登记'!$A$2:$A$201,0)),"材料与任务跨案",IF(ISERROR(SEARCH(";"&amp;D151&amp;";",";"&amp;INDEX('任务登记'!$H$2:$H$201,MATCH(B151,'任务登记'!$A$2:$A$201,0))&amp;";")),"材料不在可见清单",IF(COUNTIF('要件与标签'!$D$23:$D$29,INDEX('材料'!$H$2:$H$201,MATCH(D151,'材料'!$A$2:$A$201,0)))&lt;&gt;1,"材料阶段无效",IF(COUNTIF('要件与标签'!$D$23:$D$29,INDEX('任务登记'!$G$2:$G$201,MATCH(B151,'任务登记'!$A$2:$A$201,0)))&lt;&gt;1,"任务阶段无效",IF(MATCH(INDEX('材料'!$H$2:$H$201,MATCH(D151,'材料'!$A$2:$A$201,0)),'要件与标签'!$D$23:$D$29,0)&gt;MATCH(INDEX('任务登记'!$G$2:$G$201,MATCH(B151,'任务登记'!$A$2:$A$201,0)),'要件与标签'!$D$23:$D$29,0),"引用未来材料",IF(AND(G151="REVISE",L151=""),"修订缺新记录",IF(AND(G151="PENDING",Q151=""),"待核缺实质冲突",IF(AND(H151="不受影响",G151&lt;&gt;"KEEP"),"核对范围与处置","字段齐备")))))))))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10" t="str">
        <x:f>IF(COUNTA(A152:Q152)=0,"",IF(OR(A152="",B152="",C152="",D152="",E152="",F152="",G152="",H152="",I152="",J152="",K152="",M152="",N152="",O152="",P152=""),"缺必填",IF(COUNTIF($A$2:$A$201,A152)&gt;1,"ID重复",IF(COUNTIF('任务登记'!$A$2:$A$201,B152)&lt;&gt;1,"任务ID无效",IF(COUNTIF('材料'!$A$2:$A$201,D152)&lt;&gt;1,"材料ID无效",IF(INDEX('材料'!$B$2:$B$201,MATCH(D152,'材料'!$A$2:$A$201,0))&lt;&gt;INDEX('任务登记'!$B$2:$B$201,MATCH(B152,'任务登记'!$A$2:$A$201,0)),"材料与任务跨案",IF(ISERROR(SEARCH(";"&amp;D152&amp;";",";"&amp;INDEX('任务登记'!$H$2:$H$201,MATCH(B152,'任务登记'!$A$2:$A$201,0))&amp;";")),"材料不在可见清单",IF(COUNTIF('要件与标签'!$D$23:$D$29,INDEX('材料'!$H$2:$H$201,MATCH(D152,'材料'!$A$2:$A$201,0)))&lt;&gt;1,"材料阶段无效",IF(COUNTIF('要件与标签'!$D$23:$D$29,INDEX('任务登记'!$G$2:$G$201,MATCH(B152,'任务登记'!$A$2:$A$201,0)))&lt;&gt;1,"任务阶段无效",IF(MATCH(INDEX('材料'!$H$2:$H$201,MATCH(D152,'材料'!$A$2:$A$201,0)),'要件与标签'!$D$23:$D$29,0)&gt;MATCH(INDEX('任务登记'!$G$2:$G$201,MATCH(B152,'任务登记'!$A$2:$A$201,0)),'要件与标签'!$D$23:$D$29,0),"引用未来材料",IF(AND(G152="REVISE",L152=""),"修订缺新记录",IF(AND(G152="PENDING",Q152=""),"待核缺实质冲突",IF(AND(H152="不受影响",G152&lt;&gt;"KEEP"),"核对范围与处置","字段齐备")))))))))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10" t="str">
        <x:f>IF(COUNTA(A153:Q153)=0,"",IF(OR(A153="",B153="",C153="",D153="",E153="",F153="",G153="",H153="",I153="",J153="",K153="",M153="",N153="",O153="",P153=""),"缺必填",IF(COUNTIF($A$2:$A$201,A153)&gt;1,"ID重复",IF(COUNTIF('任务登记'!$A$2:$A$201,B153)&lt;&gt;1,"任务ID无效",IF(COUNTIF('材料'!$A$2:$A$201,D153)&lt;&gt;1,"材料ID无效",IF(INDEX('材料'!$B$2:$B$201,MATCH(D153,'材料'!$A$2:$A$201,0))&lt;&gt;INDEX('任务登记'!$B$2:$B$201,MATCH(B153,'任务登记'!$A$2:$A$201,0)),"材料与任务跨案",IF(ISERROR(SEARCH(";"&amp;D153&amp;";",";"&amp;INDEX('任务登记'!$H$2:$H$201,MATCH(B153,'任务登记'!$A$2:$A$201,0))&amp;";")),"材料不在可见清单",IF(COUNTIF('要件与标签'!$D$23:$D$29,INDEX('材料'!$H$2:$H$201,MATCH(D153,'材料'!$A$2:$A$201,0)))&lt;&gt;1,"材料阶段无效",IF(COUNTIF('要件与标签'!$D$23:$D$29,INDEX('任务登记'!$G$2:$G$201,MATCH(B153,'任务登记'!$A$2:$A$201,0)))&lt;&gt;1,"任务阶段无效",IF(MATCH(INDEX('材料'!$H$2:$H$201,MATCH(D153,'材料'!$A$2:$A$201,0)),'要件与标签'!$D$23:$D$29,0)&gt;MATCH(INDEX('任务登记'!$G$2:$G$201,MATCH(B153,'任务登记'!$A$2:$A$201,0)),'要件与标签'!$D$23:$D$29,0),"引用未来材料",IF(AND(G153="REVISE",L153=""),"修订缺新记录",IF(AND(G153="PENDING",Q153=""),"待核缺实质冲突",IF(AND(H153="不受影响",G153&lt;&gt;"KEEP"),"核对范围与处置","字段齐备")))))))))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10" t="str">
        <x:f>IF(COUNTA(A154:Q154)=0,"",IF(OR(A154="",B154="",C154="",D154="",E154="",F154="",G154="",H154="",I154="",J154="",K154="",M154="",N154="",O154="",P154=""),"缺必填",IF(COUNTIF($A$2:$A$201,A154)&gt;1,"ID重复",IF(COUNTIF('任务登记'!$A$2:$A$201,B154)&lt;&gt;1,"任务ID无效",IF(COUNTIF('材料'!$A$2:$A$201,D154)&lt;&gt;1,"材料ID无效",IF(INDEX('材料'!$B$2:$B$201,MATCH(D154,'材料'!$A$2:$A$201,0))&lt;&gt;INDEX('任务登记'!$B$2:$B$201,MATCH(B154,'任务登记'!$A$2:$A$201,0)),"材料与任务跨案",IF(ISERROR(SEARCH(";"&amp;D154&amp;";",";"&amp;INDEX('任务登记'!$H$2:$H$201,MATCH(B154,'任务登记'!$A$2:$A$201,0))&amp;";")),"材料不在可见清单",IF(COUNTIF('要件与标签'!$D$23:$D$29,INDEX('材料'!$H$2:$H$201,MATCH(D154,'材料'!$A$2:$A$201,0)))&lt;&gt;1,"材料阶段无效",IF(COUNTIF('要件与标签'!$D$23:$D$29,INDEX('任务登记'!$G$2:$G$201,MATCH(B154,'任务登记'!$A$2:$A$201,0)))&lt;&gt;1,"任务阶段无效",IF(MATCH(INDEX('材料'!$H$2:$H$201,MATCH(D154,'材料'!$A$2:$A$201,0)),'要件与标签'!$D$23:$D$29,0)&gt;MATCH(INDEX('任务登记'!$G$2:$G$201,MATCH(B154,'任务登记'!$A$2:$A$201,0)),'要件与标签'!$D$23:$D$29,0),"引用未来材料",IF(AND(G154="REVISE",L154=""),"修订缺新记录",IF(AND(G154="PENDING",Q154=""),"待核缺实质冲突",IF(AND(H154="不受影响",G154&lt;&gt;"KEEP"),"核对范围与处置","字段齐备")))))))))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10" t="str">
        <x:f>IF(COUNTA(A155:Q155)=0,"",IF(OR(A155="",B155="",C155="",D155="",E155="",F155="",G155="",H155="",I155="",J155="",K155="",M155="",N155="",O155="",P155=""),"缺必填",IF(COUNTIF($A$2:$A$201,A155)&gt;1,"ID重复",IF(COUNTIF('任务登记'!$A$2:$A$201,B155)&lt;&gt;1,"任务ID无效",IF(COUNTIF('材料'!$A$2:$A$201,D155)&lt;&gt;1,"材料ID无效",IF(INDEX('材料'!$B$2:$B$201,MATCH(D155,'材料'!$A$2:$A$201,0))&lt;&gt;INDEX('任务登记'!$B$2:$B$201,MATCH(B155,'任务登记'!$A$2:$A$201,0)),"材料与任务跨案",IF(ISERROR(SEARCH(";"&amp;D155&amp;";",";"&amp;INDEX('任务登记'!$H$2:$H$201,MATCH(B155,'任务登记'!$A$2:$A$201,0))&amp;";")),"材料不在可见清单",IF(COUNTIF('要件与标签'!$D$23:$D$29,INDEX('材料'!$H$2:$H$201,MATCH(D155,'材料'!$A$2:$A$201,0)))&lt;&gt;1,"材料阶段无效",IF(COUNTIF('要件与标签'!$D$23:$D$29,INDEX('任务登记'!$G$2:$G$201,MATCH(B155,'任务登记'!$A$2:$A$201,0)))&lt;&gt;1,"任务阶段无效",IF(MATCH(INDEX('材料'!$H$2:$H$201,MATCH(D155,'材料'!$A$2:$A$201,0)),'要件与标签'!$D$23:$D$29,0)&gt;MATCH(INDEX('任务登记'!$G$2:$G$201,MATCH(B155,'任务登记'!$A$2:$A$201,0)),'要件与标签'!$D$23:$D$29,0),"引用未来材料",IF(AND(G155="REVISE",L155=""),"修订缺新记录",IF(AND(G155="PENDING",Q155=""),"待核缺实质冲突",IF(AND(H155="不受影响",G155&lt;&gt;"KEEP"),"核对范围与处置","字段齐备")))))))))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10" t="str">
        <x:f>IF(COUNTA(A156:Q156)=0,"",IF(OR(A156="",B156="",C156="",D156="",E156="",F156="",G156="",H156="",I156="",J156="",K156="",M156="",N156="",O156="",P156=""),"缺必填",IF(COUNTIF($A$2:$A$201,A156)&gt;1,"ID重复",IF(COUNTIF('任务登记'!$A$2:$A$201,B156)&lt;&gt;1,"任务ID无效",IF(COUNTIF('材料'!$A$2:$A$201,D156)&lt;&gt;1,"材料ID无效",IF(INDEX('材料'!$B$2:$B$201,MATCH(D156,'材料'!$A$2:$A$201,0))&lt;&gt;INDEX('任务登记'!$B$2:$B$201,MATCH(B156,'任务登记'!$A$2:$A$201,0)),"材料与任务跨案",IF(ISERROR(SEARCH(";"&amp;D156&amp;";",";"&amp;INDEX('任务登记'!$H$2:$H$201,MATCH(B156,'任务登记'!$A$2:$A$201,0))&amp;";")),"材料不在可见清单",IF(COUNTIF('要件与标签'!$D$23:$D$29,INDEX('材料'!$H$2:$H$201,MATCH(D156,'材料'!$A$2:$A$201,0)))&lt;&gt;1,"材料阶段无效",IF(COUNTIF('要件与标签'!$D$23:$D$29,INDEX('任务登记'!$G$2:$G$201,MATCH(B156,'任务登记'!$A$2:$A$201,0)))&lt;&gt;1,"任务阶段无效",IF(MATCH(INDEX('材料'!$H$2:$H$201,MATCH(D156,'材料'!$A$2:$A$201,0)),'要件与标签'!$D$23:$D$29,0)&gt;MATCH(INDEX('任务登记'!$G$2:$G$201,MATCH(B156,'任务登记'!$A$2:$A$201,0)),'要件与标签'!$D$23:$D$29,0),"引用未来材料",IF(AND(G156="REVISE",L156=""),"修订缺新记录",IF(AND(G156="PENDING",Q156=""),"待核缺实质冲突",IF(AND(H156="不受影响",G156&lt;&gt;"KEEP"),"核对范围与处置","字段齐备")))))))))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10" t="str">
        <x:f>IF(COUNTA(A157:Q157)=0,"",IF(OR(A157="",B157="",C157="",D157="",E157="",F157="",G157="",H157="",I157="",J157="",K157="",M157="",N157="",O157="",P157=""),"缺必填",IF(COUNTIF($A$2:$A$201,A157)&gt;1,"ID重复",IF(COUNTIF('任务登记'!$A$2:$A$201,B157)&lt;&gt;1,"任务ID无效",IF(COUNTIF('材料'!$A$2:$A$201,D157)&lt;&gt;1,"材料ID无效",IF(INDEX('材料'!$B$2:$B$201,MATCH(D157,'材料'!$A$2:$A$201,0))&lt;&gt;INDEX('任务登记'!$B$2:$B$201,MATCH(B157,'任务登记'!$A$2:$A$201,0)),"材料与任务跨案",IF(ISERROR(SEARCH(";"&amp;D157&amp;";",";"&amp;INDEX('任务登记'!$H$2:$H$201,MATCH(B157,'任务登记'!$A$2:$A$201,0))&amp;";")),"材料不在可见清单",IF(COUNTIF('要件与标签'!$D$23:$D$29,INDEX('材料'!$H$2:$H$201,MATCH(D157,'材料'!$A$2:$A$201,0)))&lt;&gt;1,"材料阶段无效",IF(COUNTIF('要件与标签'!$D$23:$D$29,INDEX('任务登记'!$G$2:$G$201,MATCH(B157,'任务登记'!$A$2:$A$201,0)))&lt;&gt;1,"任务阶段无效",IF(MATCH(INDEX('材料'!$H$2:$H$201,MATCH(D157,'材料'!$A$2:$A$201,0)),'要件与标签'!$D$23:$D$29,0)&gt;MATCH(INDEX('任务登记'!$G$2:$G$201,MATCH(B157,'任务登记'!$A$2:$A$201,0)),'要件与标签'!$D$23:$D$29,0),"引用未来材料",IF(AND(G157="REVISE",L157=""),"修订缺新记录",IF(AND(G157="PENDING",Q157=""),"待核缺实质冲突",IF(AND(H157="不受影响",G157&lt;&gt;"KEEP"),"核对范围与处置","字段齐备")))))))))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10" t="str">
        <x:f>IF(COUNTA(A158:Q158)=0,"",IF(OR(A158="",B158="",C158="",D158="",E158="",F158="",G158="",H158="",I158="",J158="",K158="",M158="",N158="",O158="",P158=""),"缺必填",IF(COUNTIF($A$2:$A$201,A158)&gt;1,"ID重复",IF(COUNTIF('任务登记'!$A$2:$A$201,B158)&lt;&gt;1,"任务ID无效",IF(COUNTIF('材料'!$A$2:$A$201,D158)&lt;&gt;1,"材料ID无效",IF(INDEX('材料'!$B$2:$B$201,MATCH(D158,'材料'!$A$2:$A$201,0))&lt;&gt;INDEX('任务登记'!$B$2:$B$201,MATCH(B158,'任务登记'!$A$2:$A$201,0)),"材料与任务跨案",IF(ISERROR(SEARCH(";"&amp;D158&amp;";",";"&amp;INDEX('任务登记'!$H$2:$H$201,MATCH(B158,'任务登记'!$A$2:$A$201,0))&amp;";")),"材料不在可见清单",IF(COUNTIF('要件与标签'!$D$23:$D$29,INDEX('材料'!$H$2:$H$201,MATCH(D158,'材料'!$A$2:$A$201,0)))&lt;&gt;1,"材料阶段无效",IF(COUNTIF('要件与标签'!$D$23:$D$29,INDEX('任务登记'!$G$2:$G$201,MATCH(B158,'任务登记'!$A$2:$A$201,0)))&lt;&gt;1,"任务阶段无效",IF(MATCH(INDEX('材料'!$H$2:$H$201,MATCH(D158,'材料'!$A$2:$A$201,0)),'要件与标签'!$D$23:$D$29,0)&gt;MATCH(INDEX('任务登记'!$G$2:$G$201,MATCH(B158,'任务登记'!$A$2:$A$201,0)),'要件与标签'!$D$23:$D$29,0),"引用未来材料",IF(AND(G158="REVISE",L158=""),"修订缺新记录",IF(AND(G158="PENDING",Q158=""),"待核缺实质冲突",IF(AND(H158="不受影响",G158&lt;&gt;"KEEP"),"核对范围与处置","字段齐备")))))))))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10" t="str">
        <x:f>IF(COUNTA(A159:Q159)=0,"",IF(OR(A159="",B159="",C159="",D159="",E159="",F159="",G159="",H159="",I159="",J159="",K159="",M159="",N159="",O159="",P159=""),"缺必填",IF(COUNTIF($A$2:$A$201,A159)&gt;1,"ID重复",IF(COUNTIF('任务登记'!$A$2:$A$201,B159)&lt;&gt;1,"任务ID无效",IF(COUNTIF('材料'!$A$2:$A$201,D159)&lt;&gt;1,"材料ID无效",IF(INDEX('材料'!$B$2:$B$201,MATCH(D159,'材料'!$A$2:$A$201,0))&lt;&gt;INDEX('任务登记'!$B$2:$B$201,MATCH(B159,'任务登记'!$A$2:$A$201,0)),"材料与任务跨案",IF(ISERROR(SEARCH(";"&amp;D159&amp;";",";"&amp;INDEX('任务登记'!$H$2:$H$201,MATCH(B159,'任务登记'!$A$2:$A$201,0))&amp;";")),"材料不在可见清单",IF(COUNTIF('要件与标签'!$D$23:$D$29,INDEX('材料'!$H$2:$H$201,MATCH(D159,'材料'!$A$2:$A$201,0)))&lt;&gt;1,"材料阶段无效",IF(COUNTIF('要件与标签'!$D$23:$D$29,INDEX('任务登记'!$G$2:$G$201,MATCH(B159,'任务登记'!$A$2:$A$201,0)))&lt;&gt;1,"任务阶段无效",IF(MATCH(INDEX('材料'!$H$2:$H$201,MATCH(D159,'材料'!$A$2:$A$201,0)),'要件与标签'!$D$23:$D$29,0)&gt;MATCH(INDEX('任务登记'!$G$2:$G$201,MATCH(B159,'任务登记'!$A$2:$A$201,0)),'要件与标签'!$D$23:$D$29,0),"引用未来材料",IF(AND(G159="REVISE",L159=""),"修订缺新记录",IF(AND(G159="PENDING",Q159=""),"待核缺实质冲突",IF(AND(H159="不受影响",G159&lt;&gt;"KEEP"),"核对范围与处置","字段齐备")))))))))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10" t="str">
        <x:f>IF(COUNTA(A160:Q160)=0,"",IF(OR(A160="",B160="",C160="",D160="",E160="",F160="",G160="",H160="",I160="",J160="",K160="",M160="",N160="",O160="",P160=""),"缺必填",IF(COUNTIF($A$2:$A$201,A160)&gt;1,"ID重复",IF(COUNTIF('任务登记'!$A$2:$A$201,B160)&lt;&gt;1,"任务ID无效",IF(COUNTIF('材料'!$A$2:$A$201,D160)&lt;&gt;1,"材料ID无效",IF(INDEX('材料'!$B$2:$B$201,MATCH(D160,'材料'!$A$2:$A$201,0))&lt;&gt;INDEX('任务登记'!$B$2:$B$201,MATCH(B160,'任务登记'!$A$2:$A$201,0)),"材料与任务跨案",IF(ISERROR(SEARCH(";"&amp;D160&amp;";",";"&amp;INDEX('任务登记'!$H$2:$H$201,MATCH(B160,'任务登记'!$A$2:$A$201,0))&amp;";")),"材料不在可见清单",IF(COUNTIF('要件与标签'!$D$23:$D$29,INDEX('材料'!$H$2:$H$201,MATCH(D160,'材料'!$A$2:$A$201,0)))&lt;&gt;1,"材料阶段无效",IF(COUNTIF('要件与标签'!$D$23:$D$29,INDEX('任务登记'!$G$2:$G$201,MATCH(B160,'任务登记'!$A$2:$A$201,0)))&lt;&gt;1,"任务阶段无效",IF(MATCH(INDEX('材料'!$H$2:$H$201,MATCH(D160,'材料'!$A$2:$A$201,0)),'要件与标签'!$D$23:$D$29,0)&gt;MATCH(INDEX('任务登记'!$G$2:$G$201,MATCH(B160,'任务登记'!$A$2:$A$201,0)),'要件与标签'!$D$23:$D$29,0),"引用未来材料",IF(AND(G160="REVISE",L160=""),"修订缺新记录",IF(AND(G160="PENDING",Q160=""),"待核缺实质冲突",IF(AND(H160="不受影响",G160&lt;&gt;"KEEP"),"核对范围与处置","字段齐备")))))))))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10" t="str">
        <x:f>IF(COUNTA(A161:Q161)=0,"",IF(OR(A161="",B161="",C161="",D161="",E161="",F161="",G161="",H161="",I161="",J161="",K161="",M161="",N161="",O161="",P161=""),"缺必填",IF(COUNTIF($A$2:$A$201,A161)&gt;1,"ID重复",IF(COUNTIF('任务登记'!$A$2:$A$201,B161)&lt;&gt;1,"任务ID无效",IF(COUNTIF('材料'!$A$2:$A$201,D161)&lt;&gt;1,"材料ID无效",IF(INDEX('材料'!$B$2:$B$201,MATCH(D161,'材料'!$A$2:$A$201,0))&lt;&gt;INDEX('任务登记'!$B$2:$B$201,MATCH(B161,'任务登记'!$A$2:$A$201,0)),"材料与任务跨案",IF(ISERROR(SEARCH(";"&amp;D161&amp;";",";"&amp;INDEX('任务登记'!$H$2:$H$201,MATCH(B161,'任务登记'!$A$2:$A$201,0))&amp;";")),"材料不在可见清单",IF(COUNTIF('要件与标签'!$D$23:$D$29,INDEX('材料'!$H$2:$H$201,MATCH(D161,'材料'!$A$2:$A$201,0)))&lt;&gt;1,"材料阶段无效",IF(COUNTIF('要件与标签'!$D$23:$D$29,INDEX('任务登记'!$G$2:$G$201,MATCH(B161,'任务登记'!$A$2:$A$201,0)))&lt;&gt;1,"任务阶段无效",IF(MATCH(INDEX('材料'!$H$2:$H$201,MATCH(D161,'材料'!$A$2:$A$201,0)),'要件与标签'!$D$23:$D$29,0)&gt;MATCH(INDEX('任务登记'!$G$2:$G$201,MATCH(B161,'任务登记'!$A$2:$A$201,0)),'要件与标签'!$D$23:$D$29,0),"引用未来材料",IF(AND(G161="REVISE",L161=""),"修订缺新记录",IF(AND(G161="PENDING",Q161=""),"待核缺实质冲突",IF(AND(H161="不受影响",G161&lt;&gt;"KEEP"),"核对范围与处置","字段齐备")))))))))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10" t="str">
        <x:f>IF(COUNTA(A162:Q162)=0,"",IF(OR(A162="",B162="",C162="",D162="",E162="",F162="",G162="",H162="",I162="",J162="",K162="",M162="",N162="",O162="",P162=""),"缺必填",IF(COUNTIF($A$2:$A$201,A162)&gt;1,"ID重复",IF(COUNTIF('任务登记'!$A$2:$A$201,B162)&lt;&gt;1,"任务ID无效",IF(COUNTIF('材料'!$A$2:$A$201,D162)&lt;&gt;1,"材料ID无效",IF(INDEX('材料'!$B$2:$B$201,MATCH(D162,'材料'!$A$2:$A$201,0))&lt;&gt;INDEX('任务登记'!$B$2:$B$201,MATCH(B162,'任务登记'!$A$2:$A$201,0)),"材料与任务跨案",IF(ISERROR(SEARCH(";"&amp;D162&amp;";",";"&amp;INDEX('任务登记'!$H$2:$H$201,MATCH(B162,'任务登记'!$A$2:$A$201,0))&amp;";")),"材料不在可见清单",IF(COUNTIF('要件与标签'!$D$23:$D$29,INDEX('材料'!$H$2:$H$201,MATCH(D162,'材料'!$A$2:$A$201,0)))&lt;&gt;1,"材料阶段无效",IF(COUNTIF('要件与标签'!$D$23:$D$29,INDEX('任务登记'!$G$2:$G$201,MATCH(B162,'任务登记'!$A$2:$A$201,0)))&lt;&gt;1,"任务阶段无效",IF(MATCH(INDEX('材料'!$H$2:$H$201,MATCH(D162,'材料'!$A$2:$A$201,0)),'要件与标签'!$D$23:$D$29,0)&gt;MATCH(INDEX('任务登记'!$G$2:$G$201,MATCH(B162,'任务登记'!$A$2:$A$201,0)),'要件与标签'!$D$23:$D$29,0),"引用未来材料",IF(AND(G162="REVISE",L162=""),"修订缺新记录",IF(AND(G162="PENDING",Q162=""),"待核缺实质冲突",IF(AND(H162="不受影响",G162&lt;&gt;"KEEP"),"核对范围与处置","字段齐备")))))))))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10" t="str">
        <x:f>IF(COUNTA(A163:Q163)=0,"",IF(OR(A163="",B163="",C163="",D163="",E163="",F163="",G163="",H163="",I163="",J163="",K163="",M163="",N163="",O163="",P163=""),"缺必填",IF(COUNTIF($A$2:$A$201,A163)&gt;1,"ID重复",IF(COUNTIF('任务登记'!$A$2:$A$201,B163)&lt;&gt;1,"任务ID无效",IF(COUNTIF('材料'!$A$2:$A$201,D163)&lt;&gt;1,"材料ID无效",IF(INDEX('材料'!$B$2:$B$201,MATCH(D163,'材料'!$A$2:$A$201,0))&lt;&gt;INDEX('任务登记'!$B$2:$B$201,MATCH(B163,'任务登记'!$A$2:$A$201,0)),"材料与任务跨案",IF(ISERROR(SEARCH(";"&amp;D163&amp;";",";"&amp;INDEX('任务登记'!$H$2:$H$201,MATCH(B163,'任务登记'!$A$2:$A$201,0))&amp;";")),"材料不在可见清单",IF(COUNTIF('要件与标签'!$D$23:$D$29,INDEX('材料'!$H$2:$H$201,MATCH(D163,'材料'!$A$2:$A$201,0)))&lt;&gt;1,"材料阶段无效",IF(COUNTIF('要件与标签'!$D$23:$D$29,INDEX('任务登记'!$G$2:$G$201,MATCH(B163,'任务登记'!$A$2:$A$201,0)))&lt;&gt;1,"任务阶段无效",IF(MATCH(INDEX('材料'!$H$2:$H$201,MATCH(D163,'材料'!$A$2:$A$201,0)),'要件与标签'!$D$23:$D$29,0)&gt;MATCH(INDEX('任务登记'!$G$2:$G$201,MATCH(B163,'任务登记'!$A$2:$A$201,0)),'要件与标签'!$D$23:$D$29,0),"引用未来材料",IF(AND(G163="REVISE",L163=""),"修订缺新记录",IF(AND(G163="PENDING",Q163=""),"待核缺实质冲突",IF(AND(H163="不受影响",G163&lt;&gt;"KEEP"),"核对范围与处置","字段齐备")))))))))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10" t="str">
        <x:f>IF(COUNTA(A164:Q164)=0,"",IF(OR(A164="",B164="",C164="",D164="",E164="",F164="",G164="",H164="",I164="",J164="",K164="",M164="",N164="",O164="",P164=""),"缺必填",IF(COUNTIF($A$2:$A$201,A164)&gt;1,"ID重复",IF(COUNTIF('任务登记'!$A$2:$A$201,B164)&lt;&gt;1,"任务ID无效",IF(COUNTIF('材料'!$A$2:$A$201,D164)&lt;&gt;1,"材料ID无效",IF(INDEX('材料'!$B$2:$B$201,MATCH(D164,'材料'!$A$2:$A$201,0))&lt;&gt;INDEX('任务登记'!$B$2:$B$201,MATCH(B164,'任务登记'!$A$2:$A$201,0)),"材料与任务跨案",IF(ISERROR(SEARCH(";"&amp;D164&amp;";",";"&amp;INDEX('任务登记'!$H$2:$H$201,MATCH(B164,'任务登记'!$A$2:$A$201,0))&amp;";")),"材料不在可见清单",IF(COUNTIF('要件与标签'!$D$23:$D$29,INDEX('材料'!$H$2:$H$201,MATCH(D164,'材料'!$A$2:$A$201,0)))&lt;&gt;1,"材料阶段无效",IF(COUNTIF('要件与标签'!$D$23:$D$29,INDEX('任务登记'!$G$2:$G$201,MATCH(B164,'任务登记'!$A$2:$A$201,0)))&lt;&gt;1,"任务阶段无效",IF(MATCH(INDEX('材料'!$H$2:$H$201,MATCH(D164,'材料'!$A$2:$A$201,0)),'要件与标签'!$D$23:$D$29,0)&gt;MATCH(INDEX('任务登记'!$G$2:$G$201,MATCH(B164,'任务登记'!$A$2:$A$201,0)),'要件与标签'!$D$23:$D$29,0),"引用未来材料",IF(AND(G164="REVISE",L164=""),"修订缺新记录",IF(AND(G164="PENDING",Q164=""),"待核缺实质冲突",IF(AND(H164="不受影响",G164&lt;&gt;"KEEP"),"核对范围与处置","字段齐备")))))))))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10" t="str">
        <x:f>IF(COUNTA(A165:Q165)=0,"",IF(OR(A165="",B165="",C165="",D165="",E165="",F165="",G165="",H165="",I165="",J165="",K165="",M165="",N165="",O165="",P165=""),"缺必填",IF(COUNTIF($A$2:$A$201,A165)&gt;1,"ID重复",IF(COUNTIF('任务登记'!$A$2:$A$201,B165)&lt;&gt;1,"任务ID无效",IF(COUNTIF('材料'!$A$2:$A$201,D165)&lt;&gt;1,"材料ID无效",IF(INDEX('材料'!$B$2:$B$201,MATCH(D165,'材料'!$A$2:$A$201,0))&lt;&gt;INDEX('任务登记'!$B$2:$B$201,MATCH(B165,'任务登记'!$A$2:$A$201,0)),"材料与任务跨案",IF(ISERROR(SEARCH(";"&amp;D165&amp;";",";"&amp;INDEX('任务登记'!$H$2:$H$201,MATCH(B165,'任务登记'!$A$2:$A$201,0))&amp;";")),"材料不在可见清单",IF(COUNTIF('要件与标签'!$D$23:$D$29,INDEX('材料'!$H$2:$H$201,MATCH(D165,'材料'!$A$2:$A$201,0)))&lt;&gt;1,"材料阶段无效",IF(COUNTIF('要件与标签'!$D$23:$D$29,INDEX('任务登记'!$G$2:$G$201,MATCH(B165,'任务登记'!$A$2:$A$201,0)))&lt;&gt;1,"任务阶段无效",IF(MATCH(INDEX('材料'!$H$2:$H$201,MATCH(D165,'材料'!$A$2:$A$201,0)),'要件与标签'!$D$23:$D$29,0)&gt;MATCH(INDEX('任务登记'!$G$2:$G$201,MATCH(B165,'任务登记'!$A$2:$A$201,0)),'要件与标签'!$D$23:$D$29,0),"引用未来材料",IF(AND(G165="REVISE",L165=""),"修订缺新记录",IF(AND(G165="PENDING",Q165=""),"待核缺实质冲突",IF(AND(H165="不受影响",G165&lt;&gt;"KEEP"),"核对范围与处置","字段齐备")))))))))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10" t="str">
        <x:f>IF(COUNTA(A166:Q166)=0,"",IF(OR(A166="",B166="",C166="",D166="",E166="",F166="",G166="",H166="",I166="",J166="",K166="",M166="",N166="",O166="",P166=""),"缺必填",IF(COUNTIF($A$2:$A$201,A166)&gt;1,"ID重复",IF(COUNTIF('任务登记'!$A$2:$A$201,B166)&lt;&gt;1,"任务ID无效",IF(COUNTIF('材料'!$A$2:$A$201,D166)&lt;&gt;1,"材料ID无效",IF(INDEX('材料'!$B$2:$B$201,MATCH(D166,'材料'!$A$2:$A$201,0))&lt;&gt;INDEX('任务登记'!$B$2:$B$201,MATCH(B166,'任务登记'!$A$2:$A$201,0)),"材料与任务跨案",IF(ISERROR(SEARCH(";"&amp;D166&amp;";",";"&amp;INDEX('任务登记'!$H$2:$H$201,MATCH(B166,'任务登记'!$A$2:$A$201,0))&amp;";")),"材料不在可见清单",IF(COUNTIF('要件与标签'!$D$23:$D$29,INDEX('材料'!$H$2:$H$201,MATCH(D166,'材料'!$A$2:$A$201,0)))&lt;&gt;1,"材料阶段无效",IF(COUNTIF('要件与标签'!$D$23:$D$29,INDEX('任务登记'!$G$2:$G$201,MATCH(B166,'任务登记'!$A$2:$A$201,0)))&lt;&gt;1,"任务阶段无效",IF(MATCH(INDEX('材料'!$H$2:$H$201,MATCH(D166,'材料'!$A$2:$A$201,0)),'要件与标签'!$D$23:$D$29,0)&gt;MATCH(INDEX('任务登记'!$G$2:$G$201,MATCH(B166,'任务登记'!$A$2:$A$201,0)),'要件与标签'!$D$23:$D$29,0),"引用未来材料",IF(AND(G166="REVISE",L166=""),"修订缺新记录",IF(AND(G166="PENDING",Q166=""),"待核缺实质冲突",IF(AND(H166="不受影响",G166&lt;&gt;"KEEP"),"核对范围与处置","字段齐备")))))))))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10" t="str">
        <x:f>IF(COUNTA(A167:Q167)=0,"",IF(OR(A167="",B167="",C167="",D167="",E167="",F167="",G167="",H167="",I167="",J167="",K167="",M167="",N167="",O167="",P167=""),"缺必填",IF(COUNTIF($A$2:$A$201,A167)&gt;1,"ID重复",IF(COUNTIF('任务登记'!$A$2:$A$201,B167)&lt;&gt;1,"任务ID无效",IF(COUNTIF('材料'!$A$2:$A$201,D167)&lt;&gt;1,"材料ID无效",IF(INDEX('材料'!$B$2:$B$201,MATCH(D167,'材料'!$A$2:$A$201,0))&lt;&gt;INDEX('任务登记'!$B$2:$B$201,MATCH(B167,'任务登记'!$A$2:$A$201,0)),"材料与任务跨案",IF(ISERROR(SEARCH(";"&amp;D167&amp;";",";"&amp;INDEX('任务登记'!$H$2:$H$201,MATCH(B167,'任务登记'!$A$2:$A$201,0))&amp;";")),"材料不在可见清单",IF(COUNTIF('要件与标签'!$D$23:$D$29,INDEX('材料'!$H$2:$H$201,MATCH(D167,'材料'!$A$2:$A$201,0)))&lt;&gt;1,"材料阶段无效",IF(COUNTIF('要件与标签'!$D$23:$D$29,INDEX('任务登记'!$G$2:$G$201,MATCH(B167,'任务登记'!$A$2:$A$201,0)))&lt;&gt;1,"任务阶段无效",IF(MATCH(INDEX('材料'!$H$2:$H$201,MATCH(D167,'材料'!$A$2:$A$201,0)),'要件与标签'!$D$23:$D$29,0)&gt;MATCH(INDEX('任务登记'!$G$2:$G$201,MATCH(B167,'任务登记'!$A$2:$A$201,0)),'要件与标签'!$D$23:$D$29,0),"引用未来材料",IF(AND(G167="REVISE",L167=""),"修订缺新记录",IF(AND(G167="PENDING",Q167=""),"待核缺实质冲突",IF(AND(H167="不受影响",G167&lt;&gt;"KEEP"),"核对范围与处置","字段齐备")))))))))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10" t="str">
        <x:f>IF(COUNTA(A168:Q168)=0,"",IF(OR(A168="",B168="",C168="",D168="",E168="",F168="",G168="",H168="",I168="",J168="",K168="",M168="",N168="",O168="",P168=""),"缺必填",IF(COUNTIF($A$2:$A$201,A168)&gt;1,"ID重复",IF(COUNTIF('任务登记'!$A$2:$A$201,B168)&lt;&gt;1,"任务ID无效",IF(COUNTIF('材料'!$A$2:$A$201,D168)&lt;&gt;1,"材料ID无效",IF(INDEX('材料'!$B$2:$B$201,MATCH(D168,'材料'!$A$2:$A$201,0))&lt;&gt;INDEX('任务登记'!$B$2:$B$201,MATCH(B168,'任务登记'!$A$2:$A$201,0)),"材料与任务跨案",IF(ISERROR(SEARCH(";"&amp;D168&amp;";",";"&amp;INDEX('任务登记'!$H$2:$H$201,MATCH(B168,'任务登记'!$A$2:$A$201,0))&amp;";")),"材料不在可见清单",IF(COUNTIF('要件与标签'!$D$23:$D$29,INDEX('材料'!$H$2:$H$201,MATCH(D168,'材料'!$A$2:$A$201,0)))&lt;&gt;1,"材料阶段无效",IF(COUNTIF('要件与标签'!$D$23:$D$29,INDEX('任务登记'!$G$2:$G$201,MATCH(B168,'任务登记'!$A$2:$A$201,0)))&lt;&gt;1,"任务阶段无效",IF(MATCH(INDEX('材料'!$H$2:$H$201,MATCH(D168,'材料'!$A$2:$A$201,0)),'要件与标签'!$D$23:$D$29,0)&gt;MATCH(INDEX('任务登记'!$G$2:$G$201,MATCH(B168,'任务登记'!$A$2:$A$201,0)),'要件与标签'!$D$23:$D$29,0),"引用未来材料",IF(AND(G168="REVISE",L168=""),"修订缺新记录",IF(AND(G168="PENDING",Q168=""),"待核缺实质冲突",IF(AND(H168="不受影响",G168&lt;&gt;"KEEP"),"核对范围与处置","字段齐备")))))))))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10" t="str">
        <x:f>IF(COUNTA(A169:Q169)=0,"",IF(OR(A169="",B169="",C169="",D169="",E169="",F169="",G169="",H169="",I169="",J169="",K169="",M169="",N169="",O169="",P169=""),"缺必填",IF(COUNTIF($A$2:$A$201,A169)&gt;1,"ID重复",IF(COUNTIF('任务登记'!$A$2:$A$201,B169)&lt;&gt;1,"任务ID无效",IF(COUNTIF('材料'!$A$2:$A$201,D169)&lt;&gt;1,"材料ID无效",IF(INDEX('材料'!$B$2:$B$201,MATCH(D169,'材料'!$A$2:$A$201,0))&lt;&gt;INDEX('任务登记'!$B$2:$B$201,MATCH(B169,'任务登记'!$A$2:$A$201,0)),"材料与任务跨案",IF(ISERROR(SEARCH(";"&amp;D169&amp;";",";"&amp;INDEX('任务登记'!$H$2:$H$201,MATCH(B169,'任务登记'!$A$2:$A$201,0))&amp;";")),"材料不在可见清单",IF(COUNTIF('要件与标签'!$D$23:$D$29,INDEX('材料'!$H$2:$H$201,MATCH(D169,'材料'!$A$2:$A$201,0)))&lt;&gt;1,"材料阶段无效",IF(COUNTIF('要件与标签'!$D$23:$D$29,INDEX('任务登记'!$G$2:$G$201,MATCH(B169,'任务登记'!$A$2:$A$201,0)))&lt;&gt;1,"任务阶段无效",IF(MATCH(INDEX('材料'!$H$2:$H$201,MATCH(D169,'材料'!$A$2:$A$201,0)),'要件与标签'!$D$23:$D$29,0)&gt;MATCH(INDEX('任务登记'!$G$2:$G$201,MATCH(B169,'任务登记'!$A$2:$A$201,0)),'要件与标签'!$D$23:$D$29,0),"引用未来材料",IF(AND(G169="REVISE",L169=""),"修订缺新记录",IF(AND(G169="PENDING",Q169=""),"待核缺实质冲突",IF(AND(H169="不受影响",G169&lt;&gt;"KEEP"),"核对范围与处置","字段齐备")))))))))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10" t="str">
        <x:f>IF(COUNTA(A170:Q170)=0,"",IF(OR(A170="",B170="",C170="",D170="",E170="",F170="",G170="",H170="",I170="",J170="",K170="",M170="",N170="",O170="",P170=""),"缺必填",IF(COUNTIF($A$2:$A$201,A170)&gt;1,"ID重复",IF(COUNTIF('任务登记'!$A$2:$A$201,B170)&lt;&gt;1,"任务ID无效",IF(COUNTIF('材料'!$A$2:$A$201,D170)&lt;&gt;1,"材料ID无效",IF(INDEX('材料'!$B$2:$B$201,MATCH(D170,'材料'!$A$2:$A$201,0))&lt;&gt;INDEX('任务登记'!$B$2:$B$201,MATCH(B170,'任务登记'!$A$2:$A$201,0)),"材料与任务跨案",IF(ISERROR(SEARCH(";"&amp;D170&amp;";",";"&amp;INDEX('任务登记'!$H$2:$H$201,MATCH(B170,'任务登记'!$A$2:$A$201,0))&amp;";")),"材料不在可见清单",IF(COUNTIF('要件与标签'!$D$23:$D$29,INDEX('材料'!$H$2:$H$201,MATCH(D170,'材料'!$A$2:$A$201,0)))&lt;&gt;1,"材料阶段无效",IF(COUNTIF('要件与标签'!$D$23:$D$29,INDEX('任务登记'!$G$2:$G$201,MATCH(B170,'任务登记'!$A$2:$A$201,0)))&lt;&gt;1,"任务阶段无效",IF(MATCH(INDEX('材料'!$H$2:$H$201,MATCH(D170,'材料'!$A$2:$A$201,0)),'要件与标签'!$D$23:$D$29,0)&gt;MATCH(INDEX('任务登记'!$G$2:$G$201,MATCH(B170,'任务登记'!$A$2:$A$201,0)),'要件与标签'!$D$23:$D$29,0),"引用未来材料",IF(AND(G170="REVISE",L170=""),"修订缺新记录",IF(AND(G170="PENDING",Q170=""),"待核缺实质冲突",IF(AND(H170="不受影响",G170&lt;&gt;"KEEP"),"核对范围与处置","字段齐备")))))))))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10" t="str">
        <x:f>IF(COUNTA(A171:Q171)=0,"",IF(OR(A171="",B171="",C171="",D171="",E171="",F171="",G171="",H171="",I171="",J171="",K171="",M171="",N171="",O171="",P171=""),"缺必填",IF(COUNTIF($A$2:$A$201,A171)&gt;1,"ID重复",IF(COUNTIF('任务登记'!$A$2:$A$201,B171)&lt;&gt;1,"任务ID无效",IF(COUNTIF('材料'!$A$2:$A$201,D171)&lt;&gt;1,"材料ID无效",IF(INDEX('材料'!$B$2:$B$201,MATCH(D171,'材料'!$A$2:$A$201,0))&lt;&gt;INDEX('任务登记'!$B$2:$B$201,MATCH(B171,'任务登记'!$A$2:$A$201,0)),"材料与任务跨案",IF(ISERROR(SEARCH(";"&amp;D171&amp;";",";"&amp;INDEX('任务登记'!$H$2:$H$201,MATCH(B171,'任务登记'!$A$2:$A$201,0))&amp;";")),"材料不在可见清单",IF(COUNTIF('要件与标签'!$D$23:$D$29,INDEX('材料'!$H$2:$H$201,MATCH(D171,'材料'!$A$2:$A$201,0)))&lt;&gt;1,"材料阶段无效",IF(COUNTIF('要件与标签'!$D$23:$D$29,INDEX('任务登记'!$G$2:$G$201,MATCH(B171,'任务登记'!$A$2:$A$201,0)))&lt;&gt;1,"任务阶段无效",IF(MATCH(INDEX('材料'!$H$2:$H$201,MATCH(D171,'材料'!$A$2:$A$201,0)),'要件与标签'!$D$23:$D$29,0)&gt;MATCH(INDEX('任务登记'!$G$2:$G$201,MATCH(B171,'任务登记'!$A$2:$A$201,0)),'要件与标签'!$D$23:$D$29,0),"引用未来材料",IF(AND(G171="REVISE",L171=""),"修订缺新记录",IF(AND(G171="PENDING",Q171=""),"待核缺实质冲突",IF(AND(H171="不受影响",G171&lt;&gt;"KEEP"),"核对范围与处置","字段齐备")))))))))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10" t="str">
        <x:f>IF(COUNTA(A172:Q172)=0,"",IF(OR(A172="",B172="",C172="",D172="",E172="",F172="",G172="",H172="",I172="",J172="",K172="",M172="",N172="",O172="",P172=""),"缺必填",IF(COUNTIF($A$2:$A$201,A172)&gt;1,"ID重复",IF(COUNTIF('任务登记'!$A$2:$A$201,B172)&lt;&gt;1,"任务ID无效",IF(COUNTIF('材料'!$A$2:$A$201,D172)&lt;&gt;1,"材料ID无效",IF(INDEX('材料'!$B$2:$B$201,MATCH(D172,'材料'!$A$2:$A$201,0))&lt;&gt;INDEX('任务登记'!$B$2:$B$201,MATCH(B172,'任务登记'!$A$2:$A$201,0)),"材料与任务跨案",IF(ISERROR(SEARCH(";"&amp;D172&amp;";",";"&amp;INDEX('任务登记'!$H$2:$H$201,MATCH(B172,'任务登记'!$A$2:$A$201,0))&amp;";")),"材料不在可见清单",IF(COUNTIF('要件与标签'!$D$23:$D$29,INDEX('材料'!$H$2:$H$201,MATCH(D172,'材料'!$A$2:$A$201,0)))&lt;&gt;1,"材料阶段无效",IF(COUNTIF('要件与标签'!$D$23:$D$29,INDEX('任务登记'!$G$2:$G$201,MATCH(B172,'任务登记'!$A$2:$A$201,0)))&lt;&gt;1,"任务阶段无效",IF(MATCH(INDEX('材料'!$H$2:$H$201,MATCH(D172,'材料'!$A$2:$A$201,0)),'要件与标签'!$D$23:$D$29,0)&gt;MATCH(INDEX('任务登记'!$G$2:$G$201,MATCH(B172,'任务登记'!$A$2:$A$201,0)),'要件与标签'!$D$23:$D$29,0),"引用未来材料",IF(AND(G172="REVISE",L172=""),"修订缺新记录",IF(AND(G172="PENDING",Q172=""),"待核缺实质冲突",IF(AND(H172="不受影响",G172&lt;&gt;"KEEP"),"核对范围与处置","字段齐备")))))))))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10" t="str">
        <x:f>IF(COUNTA(A173:Q173)=0,"",IF(OR(A173="",B173="",C173="",D173="",E173="",F173="",G173="",H173="",I173="",J173="",K173="",M173="",N173="",O173="",P173=""),"缺必填",IF(COUNTIF($A$2:$A$201,A173)&gt;1,"ID重复",IF(COUNTIF('任务登记'!$A$2:$A$201,B173)&lt;&gt;1,"任务ID无效",IF(COUNTIF('材料'!$A$2:$A$201,D173)&lt;&gt;1,"材料ID无效",IF(INDEX('材料'!$B$2:$B$201,MATCH(D173,'材料'!$A$2:$A$201,0))&lt;&gt;INDEX('任务登记'!$B$2:$B$201,MATCH(B173,'任务登记'!$A$2:$A$201,0)),"材料与任务跨案",IF(ISERROR(SEARCH(";"&amp;D173&amp;";",";"&amp;INDEX('任务登记'!$H$2:$H$201,MATCH(B173,'任务登记'!$A$2:$A$201,0))&amp;";")),"材料不在可见清单",IF(COUNTIF('要件与标签'!$D$23:$D$29,INDEX('材料'!$H$2:$H$201,MATCH(D173,'材料'!$A$2:$A$201,0)))&lt;&gt;1,"材料阶段无效",IF(COUNTIF('要件与标签'!$D$23:$D$29,INDEX('任务登记'!$G$2:$G$201,MATCH(B173,'任务登记'!$A$2:$A$201,0)))&lt;&gt;1,"任务阶段无效",IF(MATCH(INDEX('材料'!$H$2:$H$201,MATCH(D173,'材料'!$A$2:$A$201,0)),'要件与标签'!$D$23:$D$29,0)&gt;MATCH(INDEX('任务登记'!$G$2:$G$201,MATCH(B173,'任务登记'!$A$2:$A$201,0)),'要件与标签'!$D$23:$D$29,0),"引用未来材料",IF(AND(G173="REVISE",L173=""),"修订缺新记录",IF(AND(G173="PENDING",Q173=""),"待核缺实质冲突",IF(AND(H173="不受影响",G173&lt;&gt;"KEEP"),"核对范围与处置","字段齐备")))))))))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10" t="str">
        <x:f>IF(COUNTA(A174:Q174)=0,"",IF(OR(A174="",B174="",C174="",D174="",E174="",F174="",G174="",H174="",I174="",J174="",K174="",M174="",N174="",O174="",P174=""),"缺必填",IF(COUNTIF($A$2:$A$201,A174)&gt;1,"ID重复",IF(COUNTIF('任务登记'!$A$2:$A$201,B174)&lt;&gt;1,"任务ID无效",IF(COUNTIF('材料'!$A$2:$A$201,D174)&lt;&gt;1,"材料ID无效",IF(INDEX('材料'!$B$2:$B$201,MATCH(D174,'材料'!$A$2:$A$201,0))&lt;&gt;INDEX('任务登记'!$B$2:$B$201,MATCH(B174,'任务登记'!$A$2:$A$201,0)),"材料与任务跨案",IF(ISERROR(SEARCH(";"&amp;D174&amp;";",";"&amp;INDEX('任务登记'!$H$2:$H$201,MATCH(B174,'任务登记'!$A$2:$A$201,0))&amp;";")),"材料不在可见清单",IF(COUNTIF('要件与标签'!$D$23:$D$29,INDEX('材料'!$H$2:$H$201,MATCH(D174,'材料'!$A$2:$A$201,0)))&lt;&gt;1,"材料阶段无效",IF(COUNTIF('要件与标签'!$D$23:$D$29,INDEX('任务登记'!$G$2:$G$201,MATCH(B174,'任务登记'!$A$2:$A$201,0)))&lt;&gt;1,"任务阶段无效",IF(MATCH(INDEX('材料'!$H$2:$H$201,MATCH(D174,'材料'!$A$2:$A$201,0)),'要件与标签'!$D$23:$D$29,0)&gt;MATCH(INDEX('任务登记'!$G$2:$G$201,MATCH(B174,'任务登记'!$A$2:$A$201,0)),'要件与标签'!$D$23:$D$29,0),"引用未来材料",IF(AND(G174="REVISE",L174=""),"修订缺新记录",IF(AND(G174="PENDING",Q174=""),"待核缺实质冲突",IF(AND(H174="不受影响",G174&lt;&gt;"KEEP"),"核对范围与处置","字段齐备")))))))))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10" t="str">
        <x:f>IF(COUNTA(A175:Q175)=0,"",IF(OR(A175="",B175="",C175="",D175="",E175="",F175="",G175="",H175="",I175="",J175="",K175="",M175="",N175="",O175="",P175=""),"缺必填",IF(COUNTIF($A$2:$A$201,A175)&gt;1,"ID重复",IF(COUNTIF('任务登记'!$A$2:$A$201,B175)&lt;&gt;1,"任务ID无效",IF(COUNTIF('材料'!$A$2:$A$201,D175)&lt;&gt;1,"材料ID无效",IF(INDEX('材料'!$B$2:$B$201,MATCH(D175,'材料'!$A$2:$A$201,0))&lt;&gt;INDEX('任务登记'!$B$2:$B$201,MATCH(B175,'任务登记'!$A$2:$A$201,0)),"材料与任务跨案",IF(ISERROR(SEARCH(";"&amp;D175&amp;";",";"&amp;INDEX('任务登记'!$H$2:$H$201,MATCH(B175,'任务登记'!$A$2:$A$201,0))&amp;";")),"材料不在可见清单",IF(COUNTIF('要件与标签'!$D$23:$D$29,INDEX('材料'!$H$2:$H$201,MATCH(D175,'材料'!$A$2:$A$201,0)))&lt;&gt;1,"材料阶段无效",IF(COUNTIF('要件与标签'!$D$23:$D$29,INDEX('任务登记'!$G$2:$G$201,MATCH(B175,'任务登记'!$A$2:$A$201,0)))&lt;&gt;1,"任务阶段无效",IF(MATCH(INDEX('材料'!$H$2:$H$201,MATCH(D175,'材料'!$A$2:$A$201,0)),'要件与标签'!$D$23:$D$29,0)&gt;MATCH(INDEX('任务登记'!$G$2:$G$201,MATCH(B175,'任务登记'!$A$2:$A$201,0)),'要件与标签'!$D$23:$D$29,0),"引用未来材料",IF(AND(G175="REVISE",L175=""),"修订缺新记录",IF(AND(G175="PENDING",Q175=""),"待核缺实质冲突",IF(AND(H175="不受影响",G175&lt;&gt;"KEEP"),"核对范围与处置","字段齐备")))))))))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10" t="str">
        <x:f>IF(COUNTA(A176:Q176)=0,"",IF(OR(A176="",B176="",C176="",D176="",E176="",F176="",G176="",H176="",I176="",J176="",K176="",M176="",N176="",O176="",P176=""),"缺必填",IF(COUNTIF($A$2:$A$201,A176)&gt;1,"ID重复",IF(COUNTIF('任务登记'!$A$2:$A$201,B176)&lt;&gt;1,"任务ID无效",IF(COUNTIF('材料'!$A$2:$A$201,D176)&lt;&gt;1,"材料ID无效",IF(INDEX('材料'!$B$2:$B$201,MATCH(D176,'材料'!$A$2:$A$201,0))&lt;&gt;INDEX('任务登记'!$B$2:$B$201,MATCH(B176,'任务登记'!$A$2:$A$201,0)),"材料与任务跨案",IF(ISERROR(SEARCH(";"&amp;D176&amp;";",";"&amp;INDEX('任务登记'!$H$2:$H$201,MATCH(B176,'任务登记'!$A$2:$A$201,0))&amp;";")),"材料不在可见清单",IF(COUNTIF('要件与标签'!$D$23:$D$29,INDEX('材料'!$H$2:$H$201,MATCH(D176,'材料'!$A$2:$A$201,0)))&lt;&gt;1,"材料阶段无效",IF(COUNTIF('要件与标签'!$D$23:$D$29,INDEX('任务登记'!$G$2:$G$201,MATCH(B176,'任务登记'!$A$2:$A$201,0)))&lt;&gt;1,"任务阶段无效",IF(MATCH(INDEX('材料'!$H$2:$H$201,MATCH(D176,'材料'!$A$2:$A$201,0)),'要件与标签'!$D$23:$D$29,0)&gt;MATCH(INDEX('任务登记'!$G$2:$G$201,MATCH(B176,'任务登记'!$A$2:$A$201,0)),'要件与标签'!$D$23:$D$29,0),"引用未来材料",IF(AND(G176="REVISE",L176=""),"修订缺新记录",IF(AND(G176="PENDING",Q176=""),"待核缺实质冲突",IF(AND(H176="不受影响",G176&lt;&gt;"KEEP"),"核对范围与处置","字段齐备")))))))))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10" t="str">
        <x:f>IF(COUNTA(A177:Q177)=0,"",IF(OR(A177="",B177="",C177="",D177="",E177="",F177="",G177="",H177="",I177="",J177="",K177="",M177="",N177="",O177="",P177=""),"缺必填",IF(COUNTIF($A$2:$A$201,A177)&gt;1,"ID重复",IF(COUNTIF('任务登记'!$A$2:$A$201,B177)&lt;&gt;1,"任务ID无效",IF(COUNTIF('材料'!$A$2:$A$201,D177)&lt;&gt;1,"材料ID无效",IF(INDEX('材料'!$B$2:$B$201,MATCH(D177,'材料'!$A$2:$A$201,0))&lt;&gt;INDEX('任务登记'!$B$2:$B$201,MATCH(B177,'任务登记'!$A$2:$A$201,0)),"材料与任务跨案",IF(ISERROR(SEARCH(";"&amp;D177&amp;";",";"&amp;INDEX('任务登记'!$H$2:$H$201,MATCH(B177,'任务登记'!$A$2:$A$201,0))&amp;";")),"材料不在可见清单",IF(COUNTIF('要件与标签'!$D$23:$D$29,INDEX('材料'!$H$2:$H$201,MATCH(D177,'材料'!$A$2:$A$201,0)))&lt;&gt;1,"材料阶段无效",IF(COUNTIF('要件与标签'!$D$23:$D$29,INDEX('任务登记'!$G$2:$G$201,MATCH(B177,'任务登记'!$A$2:$A$201,0)))&lt;&gt;1,"任务阶段无效",IF(MATCH(INDEX('材料'!$H$2:$H$201,MATCH(D177,'材料'!$A$2:$A$201,0)),'要件与标签'!$D$23:$D$29,0)&gt;MATCH(INDEX('任务登记'!$G$2:$G$201,MATCH(B177,'任务登记'!$A$2:$A$201,0)),'要件与标签'!$D$23:$D$29,0),"引用未来材料",IF(AND(G177="REVISE",L177=""),"修订缺新记录",IF(AND(G177="PENDING",Q177=""),"待核缺实质冲突",IF(AND(H177="不受影响",G177&lt;&gt;"KEEP"),"核对范围与处置","字段齐备")))))))))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10" t="str">
        <x:f>IF(COUNTA(A178:Q178)=0,"",IF(OR(A178="",B178="",C178="",D178="",E178="",F178="",G178="",H178="",I178="",J178="",K178="",M178="",N178="",O178="",P178=""),"缺必填",IF(COUNTIF($A$2:$A$201,A178)&gt;1,"ID重复",IF(COUNTIF('任务登记'!$A$2:$A$201,B178)&lt;&gt;1,"任务ID无效",IF(COUNTIF('材料'!$A$2:$A$201,D178)&lt;&gt;1,"材料ID无效",IF(INDEX('材料'!$B$2:$B$201,MATCH(D178,'材料'!$A$2:$A$201,0))&lt;&gt;INDEX('任务登记'!$B$2:$B$201,MATCH(B178,'任务登记'!$A$2:$A$201,0)),"材料与任务跨案",IF(ISERROR(SEARCH(";"&amp;D178&amp;";",";"&amp;INDEX('任务登记'!$H$2:$H$201,MATCH(B178,'任务登记'!$A$2:$A$201,0))&amp;";")),"材料不在可见清单",IF(COUNTIF('要件与标签'!$D$23:$D$29,INDEX('材料'!$H$2:$H$201,MATCH(D178,'材料'!$A$2:$A$201,0)))&lt;&gt;1,"材料阶段无效",IF(COUNTIF('要件与标签'!$D$23:$D$29,INDEX('任务登记'!$G$2:$G$201,MATCH(B178,'任务登记'!$A$2:$A$201,0)))&lt;&gt;1,"任务阶段无效",IF(MATCH(INDEX('材料'!$H$2:$H$201,MATCH(D178,'材料'!$A$2:$A$201,0)),'要件与标签'!$D$23:$D$29,0)&gt;MATCH(INDEX('任务登记'!$G$2:$G$201,MATCH(B178,'任务登记'!$A$2:$A$201,0)),'要件与标签'!$D$23:$D$29,0),"引用未来材料",IF(AND(G178="REVISE",L178=""),"修订缺新记录",IF(AND(G178="PENDING",Q178=""),"待核缺实质冲突",IF(AND(H178="不受影响",G178&lt;&gt;"KEEP"),"核对范围与处置","字段齐备")))))))))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10" t="str">
        <x:f>IF(COUNTA(A179:Q179)=0,"",IF(OR(A179="",B179="",C179="",D179="",E179="",F179="",G179="",H179="",I179="",J179="",K179="",M179="",N179="",O179="",P179=""),"缺必填",IF(COUNTIF($A$2:$A$201,A179)&gt;1,"ID重复",IF(COUNTIF('任务登记'!$A$2:$A$201,B179)&lt;&gt;1,"任务ID无效",IF(COUNTIF('材料'!$A$2:$A$201,D179)&lt;&gt;1,"材料ID无效",IF(INDEX('材料'!$B$2:$B$201,MATCH(D179,'材料'!$A$2:$A$201,0))&lt;&gt;INDEX('任务登记'!$B$2:$B$201,MATCH(B179,'任务登记'!$A$2:$A$201,0)),"材料与任务跨案",IF(ISERROR(SEARCH(";"&amp;D179&amp;";",";"&amp;INDEX('任务登记'!$H$2:$H$201,MATCH(B179,'任务登记'!$A$2:$A$201,0))&amp;";")),"材料不在可见清单",IF(COUNTIF('要件与标签'!$D$23:$D$29,INDEX('材料'!$H$2:$H$201,MATCH(D179,'材料'!$A$2:$A$201,0)))&lt;&gt;1,"材料阶段无效",IF(COUNTIF('要件与标签'!$D$23:$D$29,INDEX('任务登记'!$G$2:$G$201,MATCH(B179,'任务登记'!$A$2:$A$201,0)))&lt;&gt;1,"任务阶段无效",IF(MATCH(INDEX('材料'!$H$2:$H$201,MATCH(D179,'材料'!$A$2:$A$201,0)),'要件与标签'!$D$23:$D$29,0)&gt;MATCH(INDEX('任务登记'!$G$2:$G$201,MATCH(B179,'任务登记'!$A$2:$A$201,0)),'要件与标签'!$D$23:$D$29,0),"引用未来材料",IF(AND(G179="REVISE",L179=""),"修订缺新记录",IF(AND(G179="PENDING",Q179=""),"待核缺实质冲突",IF(AND(H179="不受影响",G179&lt;&gt;"KEEP"),"核对范围与处置","字段齐备")))))))))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10" t="str">
        <x:f>IF(COUNTA(A180:Q180)=0,"",IF(OR(A180="",B180="",C180="",D180="",E180="",F180="",G180="",H180="",I180="",J180="",K180="",M180="",N180="",O180="",P180=""),"缺必填",IF(COUNTIF($A$2:$A$201,A180)&gt;1,"ID重复",IF(COUNTIF('任务登记'!$A$2:$A$201,B180)&lt;&gt;1,"任务ID无效",IF(COUNTIF('材料'!$A$2:$A$201,D180)&lt;&gt;1,"材料ID无效",IF(INDEX('材料'!$B$2:$B$201,MATCH(D180,'材料'!$A$2:$A$201,0))&lt;&gt;INDEX('任务登记'!$B$2:$B$201,MATCH(B180,'任务登记'!$A$2:$A$201,0)),"材料与任务跨案",IF(ISERROR(SEARCH(";"&amp;D180&amp;";",";"&amp;INDEX('任务登记'!$H$2:$H$201,MATCH(B180,'任务登记'!$A$2:$A$201,0))&amp;";")),"材料不在可见清单",IF(COUNTIF('要件与标签'!$D$23:$D$29,INDEX('材料'!$H$2:$H$201,MATCH(D180,'材料'!$A$2:$A$201,0)))&lt;&gt;1,"材料阶段无效",IF(COUNTIF('要件与标签'!$D$23:$D$29,INDEX('任务登记'!$G$2:$G$201,MATCH(B180,'任务登记'!$A$2:$A$201,0)))&lt;&gt;1,"任务阶段无效",IF(MATCH(INDEX('材料'!$H$2:$H$201,MATCH(D180,'材料'!$A$2:$A$201,0)),'要件与标签'!$D$23:$D$29,0)&gt;MATCH(INDEX('任务登记'!$G$2:$G$201,MATCH(B180,'任务登记'!$A$2:$A$201,0)),'要件与标签'!$D$23:$D$29,0),"引用未来材料",IF(AND(G180="REVISE",L180=""),"修订缺新记录",IF(AND(G180="PENDING",Q180=""),"待核缺实质冲突",IF(AND(H180="不受影响",G180&lt;&gt;"KEEP"),"核对范围与处置","字段齐备")))))))))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10" t="str">
        <x:f>IF(COUNTA(A181:Q181)=0,"",IF(OR(A181="",B181="",C181="",D181="",E181="",F181="",G181="",H181="",I181="",J181="",K181="",M181="",N181="",O181="",P181=""),"缺必填",IF(COUNTIF($A$2:$A$201,A181)&gt;1,"ID重复",IF(COUNTIF('任务登记'!$A$2:$A$201,B181)&lt;&gt;1,"任务ID无效",IF(COUNTIF('材料'!$A$2:$A$201,D181)&lt;&gt;1,"材料ID无效",IF(INDEX('材料'!$B$2:$B$201,MATCH(D181,'材料'!$A$2:$A$201,0))&lt;&gt;INDEX('任务登记'!$B$2:$B$201,MATCH(B181,'任务登记'!$A$2:$A$201,0)),"材料与任务跨案",IF(ISERROR(SEARCH(";"&amp;D181&amp;";",";"&amp;INDEX('任务登记'!$H$2:$H$201,MATCH(B181,'任务登记'!$A$2:$A$201,0))&amp;";")),"材料不在可见清单",IF(COUNTIF('要件与标签'!$D$23:$D$29,INDEX('材料'!$H$2:$H$201,MATCH(D181,'材料'!$A$2:$A$201,0)))&lt;&gt;1,"材料阶段无效",IF(COUNTIF('要件与标签'!$D$23:$D$29,INDEX('任务登记'!$G$2:$G$201,MATCH(B181,'任务登记'!$A$2:$A$201,0)))&lt;&gt;1,"任务阶段无效",IF(MATCH(INDEX('材料'!$H$2:$H$201,MATCH(D181,'材料'!$A$2:$A$201,0)),'要件与标签'!$D$23:$D$29,0)&gt;MATCH(INDEX('任务登记'!$G$2:$G$201,MATCH(B181,'任务登记'!$A$2:$A$201,0)),'要件与标签'!$D$23:$D$29,0),"引用未来材料",IF(AND(G181="REVISE",L181=""),"修订缺新记录",IF(AND(G181="PENDING",Q181=""),"待核缺实质冲突",IF(AND(H181="不受影响",G181&lt;&gt;"KEEP"),"核对范围与处置","字段齐备")))))))))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10" t="str">
        <x:f>IF(COUNTA(A182:Q182)=0,"",IF(OR(A182="",B182="",C182="",D182="",E182="",F182="",G182="",H182="",I182="",J182="",K182="",M182="",N182="",O182="",P182=""),"缺必填",IF(COUNTIF($A$2:$A$201,A182)&gt;1,"ID重复",IF(COUNTIF('任务登记'!$A$2:$A$201,B182)&lt;&gt;1,"任务ID无效",IF(COUNTIF('材料'!$A$2:$A$201,D182)&lt;&gt;1,"材料ID无效",IF(INDEX('材料'!$B$2:$B$201,MATCH(D182,'材料'!$A$2:$A$201,0))&lt;&gt;INDEX('任务登记'!$B$2:$B$201,MATCH(B182,'任务登记'!$A$2:$A$201,0)),"材料与任务跨案",IF(ISERROR(SEARCH(";"&amp;D182&amp;";",";"&amp;INDEX('任务登记'!$H$2:$H$201,MATCH(B182,'任务登记'!$A$2:$A$201,0))&amp;";")),"材料不在可见清单",IF(COUNTIF('要件与标签'!$D$23:$D$29,INDEX('材料'!$H$2:$H$201,MATCH(D182,'材料'!$A$2:$A$201,0)))&lt;&gt;1,"材料阶段无效",IF(COUNTIF('要件与标签'!$D$23:$D$29,INDEX('任务登记'!$G$2:$G$201,MATCH(B182,'任务登记'!$A$2:$A$201,0)))&lt;&gt;1,"任务阶段无效",IF(MATCH(INDEX('材料'!$H$2:$H$201,MATCH(D182,'材料'!$A$2:$A$201,0)),'要件与标签'!$D$23:$D$29,0)&gt;MATCH(INDEX('任务登记'!$G$2:$G$201,MATCH(B182,'任务登记'!$A$2:$A$201,0)),'要件与标签'!$D$23:$D$29,0),"引用未来材料",IF(AND(G182="REVISE",L182=""),"修订缺新记录",IF(AND(G182="PENDING",Q182=""),"待核缺实质冲突",IF(AND(H182="不受影响",G182&lt;&gt;"KEEP"),"核对范围与处置","字段齐备")))))))))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10" t="str">
        <x:f>IF(COUNTA(A183:Q183)=0,"",IF(OR(A183="",B183="",C183="",D183="",E183="",F183="",G183="",H183="",I183="",J183="",K183="",M183="",N183="",O183="",P183=""),"缺必填",IF(COUNTIF($A$2:$A$201,A183)&gt;1,"ID重复",IF(COUNTIF('任务登记'!$A$2:$A$201,B183)&lt;&gt;1,"任务ID无效",IF(COUNTIF('材料'!$A$2:$A$201,D183)&lt;&gt;1,"材料ID无效",IF(INDEX('材料'!$B$2:$B$201,MATCH(D183,'材料'!$A$2:$A$201,0))&lt;&gt;INDEX('任务登记'!$B$2:$B$201,MATCH(B183,'任务登记'!$A$2:$A$201,0)),"材料与任务跨案",IF(ISERROR(SEARCH(";"&amp;D183&amp;";",";"&amp;INDEX('任务登记'!$H$2:$H$201,MATCH(B183,'任务登记'!$A$2:$A$201,0))&amp;";")),"材料不在可见清单",IF(COUNTIF('要件与标签'!$D$23:$D$29,INDEX('材料'!$H$2:$H$201,MATCH(D183,'材料'!$A$2:$A$201,0)))&lt;&gt;1,"材料阶段无效",IF(COUNTIF('要件与标签'!$D$23:$D$29,INDEX('任务登记'!$G$2:$G$201,MATCH(B183,'任务登记'!$A$2:$A$201,0)))&lt;&gt;1,"任务阶段无效",IF(MATCH(INDEX('材料'!$H$2:$H$201,MATCH(D183,'材料'!$A$2:$A$201,0)),'要件与标签'!$D$23:$D$29,0)&gt;MATCH(INDEX('任务登记'!$G$2:$G$201,MATCH(B183,'任务登记'!$A$2:$A$201,0)),'要件与标签'!$D$23:$D$29,0),"引用未来材料",IF(AND(G183="REVISE",L183=""),"修订缺新记录",IF(AND(G183="PENDING",Q183=""),"待核缺实质冲突",IF(AND(H183="不受影响",G183&lt;&gt;"KEEP"),"核对范围与处置","字段齐备")))))))))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10" t="str">
        <x:f>IF(COUNTA(A184:Q184)=0,"",IF(OR(A184="",B184="",C184="",D184="",E184="",F184="",G184="",H184="",I184="",J184="",K184="",M184="",N184="",O184="",P184=""),"缺必填",IF(COUNTIF($A$2:$A$201,A184)&gt;1,"ID重复",IF(COUNTIF('任务登记'!$A$2:$A$201,B184)&lt;&gt;1,"任务ID无效",IF(COUNTIF('材料'!$A$2:$A$201,D184)&lt;&gt;1,"材料ID无效",IF(INDEX('材料'!$B$2:$B$201,MATCH(D184,'材料'!$A$2:$A$201,0))&lt;&gt;INDEX('任务登记'!$B$2:$B$201,MATCH(B184,'任务登记'!$A$2:$A$201,0)),"材料与任务跨案",IF(ISERROR(SEARCH(";"&amp;D184&amp;";",";"&amp;INDEX('任务登记'!$H$2:$H$201,MATCH(B184,'任务登记'!$A$2:$A$201,0))&amp;";")),"材料不在可见清单",IF(COUNTIF('要件与标签'!$D$23:$D$29,INDEX('材料'!$H$2:$H$201,MATCH(D184,'材料'!$A$2:$A$201,0)))&lt;&gt;1,"材料阶段无效",IF(COUNTIF('要件与标签'!$D$23:$D$29,INDEX('任务登记'!$G$2:$G$201,MATCH(B184,'任务登记'!$A$2:$A$201,0)))&lt;&gt;1,"任务阶段无效",IF(MATCH(INDEX('材料'!$H$2:$H$201,MATCH(D184,'材料'!$A$2:$A$201,0)),'要件与标签'!$D$23:$D$29,0)&gt;MATCH(INDEX('任务登记'!$G$2:$G$201,MATCH(B184,'任务登记'!$A$2:$A$201,0)),'要件与标签'!$D$23:$D$29,0),"引用未来材料",IF(AND(G184="REVISE",L184=""),"修订缺新记录",IF(AND(G184="PENDING",Q184=""),"待核缺实质冲突",IF(AND(H184="不受影响",G184&lt;&gt;"KEEP"),"核对范围与处置","字段齐备")))))))))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10" t="str">
        <x:f>IF(COUNTA(A185:Q185)=0,"",IF(OR(A185="",B185="",C185="",D185="",E185="",F185="",G185="",H185="",I185="",J185="",K185="",M185="",N185="",O185="",P185=""),"缺必填",IF(COUNTIF($A$2:$A$201,A185)&gt;1,"ID重复",IF(COUNTIF('任务登记'!$A$2:$A$201,B185)&lt;&gt;1,"任务ID无效",IF(COUNTIF('材料'!$A$2:$A$201,D185)&lt;&gt;1,"材料ID无效",IF(INDEX('材料'!$B$2:$B$201,MATCH(D185,'材料'!$A$2:$A$201,0))&lt;&gt;INDEX('任务登记'!$B$2:$B$201,MATCH(B185,'任务登记'!$A$2:$A$201,0)),"材料与任务跨案",IF(ISERROR(SEARCH(";"&amp;D185&amp;";",";"&amp;INDEX('任务登记'!$H$2:$H$201,MATCH(B185,'任务登记'!$A$2:$A$201,0))&amp;";")),"材料不在可见清单",IF(COUNTIF('要件与标签'!$D$23:$D$29,INDEX('材料'!$H$2:$H$201,MATCH(D185,'材料'!$A$2:$A$201,0)))&lt;&gt;1,"材料阶段无效",IF(COUNTIF('要件与标签'!$D$23:$D$29,INDEX('任务登记'!$G$2:$G$201,MATCH(B185,'任务登记'!$A$2:$A$201,0)))&lt;&gt;1,"任务阶段无效",IF(MATCH(INDEX('材料'!$H$2:$H$201,MATCH(D185,'材料'!$A$2:$A$201,0)),'要件与标签'!$D$23:$D$29,0)&gt;MATCH(INDEX('任务登记'!$G$2:$G$201,MATCH(B185,'任务登记'!$A$2:$A$201,0)),'要件与标签'!$D$23:$D$29,0),"引用未来材料",IF(AND(G185="REVISE",L185=""),"修订缺新记录",IF(AND(G185="PENDING",Q185=""),"待核缺实质冲突",IF(AND(H185="不受影响",G185&lt;&gt;"KEEP"),"核对范围与处置","字段齐备")))))))))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10" t="str">
        <x:f>IF(COUNTA(A186:Q186)=0,"",IF(OR(A186="",B186="",C186="",D186="",E186="",F186="",G186="",H186="",I186="",J186="",K186="",M186="",N186="",O186="",P186=""),"缺必填",IF(COUNTIF($A$2:$A$201,A186)&gt;1,"ID重复",IF(COUNTIF('任务登记'!$A$2:$A$201,B186)&lt;&gt;1,"任务ID无效",IF(COUNTIF('材料'!$A$2:$A$201,D186)&lt;&gt;1,"材料ID无效",IF(INDEX('材料'!$B$2:$B$201,MATCH(D186,'材料'!$A$2:$A$201,0))&lt;&gt;INDEX('任务登记'!$B$2:$B$201,MATCH(B186,'任务登记'!$A$2:$A$201,0)),"材料与任务跨案",IF(ISERROR(SEARCH(";"&amp;D186&amp;";",";"&amp;INDEX('任务登记'!$H$2:$H$201,MATCH(B186,'任务登记'!$A$2:$A$201,0))&amp;";")),"材料不在可见清单",IF(COUNTIF('要件与标签'!$D$23:$D$29,INDEX('材料'!$H$2:$H$201,MATCH(D186,'材料'!$A$2:$A$201,0)))&lt;&gt;1,"材料阶段无效",IF(COUNTIF('要件与标签'!$D$23:$D$29,INDEX('任务登记'!$G$2:$G$201,MATCH(B186,'任务登记'!$A$2:$A$201,0)))&lt;&gt;1,"任务阶段无效",IF(MATCH(INDEX('材料'!$H$2:$H$201,MATCH(D186,'材料'!$A$2:$A$201,0)),'要件与标签'!$D$23:$D$29,0)&gt;MATCH(INDEX('任务登记'!$G$2:$G$201,MATCH(B186,'任务登记'!$A$2:$A$201,0)),'要件与标签'!$D$23:$D$29,0),"引用未来材料",IF(AND(G186="REVISE",L186=""),"修订缺新记录",IF(AND(G186="PENDING",Q186=""),"待核缺实质冲突",IF(AND(H186="不受影响",G186&lt;&gt;"KEEP"),"核对范围与处置","字段齐备")))))))))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10" t="str">
        <x:f>IF(COUNTA(A187:Q187)=0,"",IF(OR(A187="",B187="",C187="",D187="",E187="",F187="",G187="",H187="",I187="",J187="",K187="",M187="",N187="",O187="",P187=""),"缺必填",IF(COUNTIF($A$2:$A$201,A187)&gt;1,"ID重复",IF(COUNTIF('任务登记'!$A$2:$A$201,B187)&lt;&gt;1,"任务ID无效",IF(COUNTIF('材料'!$A$2:$A$201,D187)&lt;&gt;1,"材料ID无效",IF(INDEX('材料'!$B$2:$B$201,MATCH(D187,'材料'!$A$2:$A$201,0))&lt;&gt;INDEX('任务登记'!$B$2:$B$201,MATCH(B187,'任务登记'!$A$2:$A$201,0)),"材料与任务跨案",IF(ISERROR(SEARCH(";"&amp;D187&amp;";",";"&amp;INDEX('任务登记'!$H$2:$H$201,MATCH(B187,'任务登记'!$A$2:$A$201,0))&amp;";")),"材料不在可见清单",IF(COUNTIF('要件与标签'!$D$23:$D$29,INDEX('材料'!$H$2:$H$201,MATCH(D187,'材料'!$A$2:$A$201,0)))&lt;&gt;1,"材料阶段无效",IF(COUNTIF('要件与标签'!$D$23:$D$29,INDEX('任务登记'!$G$2:$G$201,MATCH(B187,'任务登记'!$A$2:$A$201,0)))&lt;&gt;1,"任务阶段无效",IF(MATCH(INDEX('材料'!$H$2:$H$201,MATCH(D187,'材料'!$A$2:$A$201,0)),'要件与标签'!$D$23:$D$29,0)&gt;MATCH(INDEX('任务登记'!$G$2:$G$201,MATCH(B187,'任务登记'!$A$2:$A$201,0)),'要件与标签'!$D$23:$D$29,0),"引用未来材料",IF(AND(G187="REVISE",L187=""),"修订缺新记录",IF(AND(G187="PENDING",Q187=""),"待核缺实质冲突",IF(AND(H187="不受影响",G187&lt;&gt;"KEEP"),"核对范围与处置","字段齐备")))))))))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10" t="str">
        <x:f>IF(COUNTA(A188:Q188)=0,"",IF(OR(A188="",B188="",C188="",D188="",E188="",F188="",G188="",H188="",I188="",J188="",K188="",M188="",N188="",O188="",P188=""),"缺必填",IF(COUNTIF($A$2:$A$201,A188)&gt;1,"ID重复",IF(COUNTIF('任务登记'!$A$2:$A$201,B188)&lt;&gt;1,"任务ID无效",IF(COUNTIF('材料'!$A$2:$A$201,D188)&lt;&gt;1,"材料ID无效",IF(INDEX('材料'!$B$2:$B$201,MATCH(D188,'材料'!$A$2:$A$201,0))&lt;&gt;INDEX('任务登记'!$B$2:$B$201,MATCH(B188,'任务登记'!$A$2:$A$201,0)),"材料与任务跨案",IF(ISERROR(SEARCH(";"&amp;D188&amp;";",";"&amp;INDEX('任务登记'!$H$2:$H$201,MATCH(B188,'任务登记'!$A$2:$A$201,0))&amp;";")),"材料不在可见清单",IF(COUNTIF('要件与标签'!$D$23:$D$29,INDEX('材料'!$H$2:$H$201,MATCH(D188,'材料'!$A$2:$A$201,0)))&lt;&gt;1,"材料阶段无效",IF(COUNTIF('要件与标签'!$D$23:$D$29,INDEX('任务登记'!$G$2:$G$201,MATCH(B188,'任务登记'!$A$2:$A$201,0)))&lt;&gt;1,"任务阶段无效",IF(MATCH(INDEX('材料'!$H$2:$H$201,MATCH(D188,'材料'!$A$2:$A$201,0)),'要件与标签'!$D$23:$D$29,0)&gt;MATCH(INDEX('任务登记'!$G$2:$G$201,MATCH(B188,'任务登记'!$A$2:$A$201,0)),'要件与标签'!$D$23:$D$29,0),"引用未来材料",IF(AND(G188="REVISE",L188=""),"修订缺新记录",IF(AND(G188="PENDING",Q188=""),"待核缺实质冲突",IF(AND(H188="不受影响",G188&lt;&gt;"KEEP"),"核对范围与处置","字段齐备")))))))))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10" t="str">
        <x:f>IF(COUNTA(A189:Q189)=0,"",IF(OR(A189="",B189="",C189="",D189="",E189="",F189="",G189="",H189="",I189="",J189="",K189="",M189="",N189="",O189="",P189=""),"缺必填",IF(COUNTIF($A$2:$A$201,A189)&gt;1,"ID重复",IF(COUNTIF('任务登记'!$A$2:$A$201,B189)&lt;&gt;1,"任务ID无效",IF(COUNTIF('材料'!$A$2:$A$201,D189)&lt;&gt;1,"材料ID无效",IF(INDEX('材料'!$B$2:$B$201,MATCH(D189,'材料'!$A$2:$A$201,0))&lt;&gt;INDEX('任务登记'!$B$2:$B$201,MATCH(B189,'任务登记'!$A$2:$A$201,0)),"材料与任务跨案",IF(ISERROR(SEARCH(";"&amp;D189&amp;";",";"&amp;INDEX('任务登记'!$H$2:$H$201,MATCH(B189,'任务登记'!$A$2:$A$201,0))&amp;";")),"材料不在可见清单",IF(COUNTIF('要件与标签'!$D$23:$D$29,INDEX('材料'!$H$2:$H$201,MATCH(D189,'材料'!$A$2:$A$201,0)))&lt;&gt;1,"材料阶段无效",IF(COUNTIF('要件与标签'!$D$23:$D$29,INDEX('任务登记'!$G$2:$G$201,MATCH(B189,'任务登记'!$A$2:$A$201,0)))&lt;&gt;1,"任务阶段无效",IF(MATCH(INDEX('材料'!$H$2:$H$201,MATCH(D189,'材料'!$A$2:$A$201,0)),'要件与标签'!$D$23:$D$29,0)&gt;MATCH(INDEX('任务登记'!$G$2:$G$201,MATCH(B189,'任务登记'!$A$2:$A$201,0)),'要件与标签'!$D$23:$D$29,0),"引用未来材料",IF(AND(G189="REVISE",L189=""),"修订缺新记录",IF(AND(G189="PENDING",Q189=""),"待核缺实质冲突",IF(AND(H189="不受影响",G189&lt;&gt;"KEEP"),"核对范围与处置","字段齐备")))))))))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10" t="str">
        <x:f>IF(COUNTA(A190:Q190)=0,"",IF(OR(A190="",B190="",C190="",D190="",E190="",F190="",G190="",H190="",I190="",J190="",K190="",M190="",N190="",O190="",P190=""),"缺必填",IF(COUNTIF($A$2:$A$201,A190)&gt;1,"ID重复",IF(COUNTIF('任务登记'!$A$2:$A$201,B190)&lt;&gt;1,"任务ID无效",IF(COUNTIF('材料'!$A$2:$A$201,D190)&lt;&gt;1,"材料ID无效",IF(INDEX('材料'!$B$2:$B$201,MATCH(D190,'材料'!$A$2:$A$201,0))&lt;&gt;INDEX('任务登记'!$B$2:$B$201,MATCH(B190,'任务登记'!$A$2:$A$201,0)),"材料与任务跨案",IF(ISERROR(SEARCH(";"&amp;D190&amp;";",";"&amp;INDEX('任务登记'!$H$2:$H$201,MATCH(B190,'任务登记'!$A$2:$A$201,0))&amp;";")),"材料不在可见清单",IF(COUNTIF('要件与标签'!$D$23:$D$29,INDEX('材料'!$H$2:$H$201,MATCH(D190,'材料'!$A$2:$A$201,0)))&lt;&gt;1,"材料阶段无效",IF(COUNTIF('要件与标签'!$D$23:$D$29,INDEX('任务登记'!$G$2:$G$201,MATCH(B190,'任务登记'!$A$2:$A$201,0)))&lt;&gt;1,"任务阶段无效",IF(MATCH(INDEX('材料'!$H$2:$H$201,MATCH(D190,'材料'!$A$2:$A$201,0)),'要件与标签'!$D$23:$D$29,0)&gt;MATCH(INDEX('任务登记'!$G$2:$G$201,MATCH(B190,'任务登记'!$A$2:$A$201,0)),'要件与标签'!$D$23:$D$29,0),"引用未来材料",IF(AND(G190="REVISE",L190=""),"修订缺新记录",IF(AND(G190="PENDING",Q190=""),"待核缺实质冲突",IF(AND(H190="不受影响",G190&lt;&gt;"KEEP"),"核对范围与处置","字段齐备")))))))))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10" t="str">
        <x:f>IF(COUNTA(A191:Q191)=0,"",IF(OR(A191="",B191="",C191="",D191="",E191="",F191="",G191="",H191="",I191="",J191="",K191="",M191="",N191="",O191="",P191=""),"缺必填",IF(COUNTIF($A$2:$A$201,A191)&gt;1,"ID重复",IF(COUNTIF('任务登记'!$A$2:$A$201,B191)&lt;&gt;1,"任务ID无效",IF(COUNTIF('材料'!$A$2:$A$201,D191)&lt;&gt;1,"材料ID无效",IF(INDEX('材料'!$B$2:$B$201,MATCH(D191,'材料'!$A$2:$A$201,0))&lt;&gt;INDEX('任务登记'!$B$2:$B$201,MATCH(B191,'任务登记'!$A$2:$A$201,0)),"材料与任务跨案",IF(ISERROR(SEARCH(";"&amp;D191&amp;";",";"&amp;INDEX('任务登记'!$H$2:$H$201,MATCH(B191,'任务登记'!$A$2:$A$201,0))&amp;";")),"材料不在可见清单",IF(COUNTIF('要件与标签'!$D$23:$D$29,INDEX('材料'!$H$2:$H$201,MATCH(D191,'材料'!$A$2:$A$201,0)))&lt;&gt;1,"材料阶段无效",IF(COUNTIF('要件与标签'!$D$23:$D$29,INDEX('任务登记'!$G$2:$G$201,MATCH(B191,'任务登记'!$A$2:$A$201,0)))&lt;&gt;1,"任务阶段无效",IF(MATCH(INDEX('材料'!$H$2:$H$201,MATCH(D191,'材料'!$A$2:$A$201,0)),'要件与标签'!$D$23:$D$29,0)&gt;MATCH(INDEX('任务登记'!$G$2:$G$201,MATCH(B191,'任务登记'!$A$2:$A$201,0)),'要件与标签'!$D$23:$D$29,0),"引用未来材料",IF(AND(G191="REVISE",L191=""),"修订缺新记录",IF(AND(G191="PENDING",Q191=""),"待核缺实质冲突",IF(AND(H191="不受影响",G191&lt;&gt;"KEEP"),"核对范围与处置","字段齐备")))))))))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10" t="str">
        <x:f>IF(COUNTA(A192:Q192)=0,"",IF(OR(A192="",B192="",C192="",D192="",E192="",F192="",G192="",H192="",I192="",J192="",K192="",M192="",N192="",O192="",P192=""),"缺必填",IF(COUNTIF($A$2:$A$201,A192)&gt;1,"ID重复",IF(COUNTIF('任务登记'!$A$2:$A$201,B192)&lt;&gt;1,"任务ID无效",IF(COUNTIF('材料'!$A$2:$A$201,D192)&lt;&gt;1,"材料ID无效",IF(INDEX('材料'!$B$2:$B$201,MATCH(D192,'材料'!$A$2:$A$201,0))&lt;&gt;INDEX('任务登记'!$B$2:$B$201,MATCH(B192,'任务登记'!$A$2:$A$201,0)),"材料与任务跨案",IF(ISERROR(SEARCH(";"&amp;D192&amp;";",";"&amp;INDEX('任务登记'!$H$2:$H$201,MATCH(B192,'任务登记'!$A$2:$A$201,0))&amp;";")),"材料不在可见清单",IF(COUNTIF('要件与标签'!$D$23:$D$29,INDEX('材料'!$H$2:$H$201,MATCH(D192,'材料'!$A$2:$A$201,0)))&lt;&gt;1,"材料阶段无效",IF(COUNTIF('要件与标签'!$D$23:$D$29,INDEX('任务登记'!$G$2:$G$201,MATCH(B192,'任务登记'!$A$2:$A$201,0)))&lt;&gt;1,"任务阶段无效",IF(MATCH(INDEX('材料'!$H$2:$H$201,MATCH(D192,'材料'!$A$2:$A$201,0)),'要件与标签'!$D$23:$D$29,0)&gt;MATCH(INDEX('任务登记'!$G$2:$G$201,MATCH(B192,'任务登记'!$A$2:$A$201,0)),'要件与标签'!$D$23:$D$29,0),"引用未来材料",IF(AND(G192="REVISE",L192=""),"修订缺新记录",IF(AND(G192="PENDING",Q192=""),"待核缺实质冲突",IF(AND(H192="不受影响",G192&lt;&gt;"KEEP"),"核对范围与处置","字段齐备")))))))))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10" t="str">
        <x:f>IF(COUNTA(A193:Q193)=0,"",IF(OR(A193="",B193="",C193="",D193="",E193="",F193="",G193="",H193="",I193="",J193="",K193="",M193="",N193="",O193="",P193=""),"缺必填",IF(COUNTIF($A$2:$A$201,A193)&gt;1,"ID重复",IF(COUNTIF('任务登记'!$A$2:$A$201,B193)&lt;&gt;1,"任务ID无效",IF(COUNTIF('材料'!$A$2:$A$201,D193)&lt;&gt;1,"材料ID无效",IF(INDEX('材料'!$B$2:$B$201,MATCH(D193,'材料'!$A$2:$A$201,0))&lt;&gt;INDEX('任务登记'!$B$2:$B$201,MATCH(B193,'任务登记'!$A$2:$A$201,0)),"材料与任务跨案",IF(ISERROR(SEARCH(";"&amp;D193&amp;";",";"&amp;INDEX('任务登记'!$H$2:$H$201,MATCH(B193,'任务登记'!$A$2:$A$201,0))&amp;";")),"材料不在可见清单",IF(COUNTIF('要件与标签'!$D$23:$D$29,INDEX('材料'!$H$2:$H$201,MATCH(D193,'材料'!$A$2:$A$201,0)))&lt;&gt;1,"材料阶段无效",IF(COUNTIF('要件与标签'!$D$23:$D$29,INDEX('任务登记'!$G$2:$G$201,MATCH(B193,'任务登记'!$A$2:$A$201,0)))&lt;&gt;1,"任务阶段无效",IF(MATCH(INDEX('材料'!$H$2:$H$201,MATCH(D193,'材料'!$A$2:$A$201,0)),'要件与标签'!$D$23:$D$29,0)&gt;MATCH(INDEX('任务登记'!$G$2:$G$201,MATCH(B193,'任务登记'!$A$2:$A$201,0)),'要件与标签'!$D$23:$D$29,0),"引用未来材料",IF(AND(G193="REVISE",L193=""),"修订缺新记录",IF(AND(G193="PENDING",Q193=""),"待核缺实质冲突",IF(AND(H193="不受影响",G193&lt;&gt;"KEEP"),"核对范围与处置","字段齐备")))))))))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10" t="str">
        <x:f>IF(COUNTA(A194:Q194)=0,"",IF(OR(A194="",B194="",C194="",D194="",E194="",F194="",G194="",H194="",I194="",J194="",K194="",M194="",N194="",O194="",P194=""),"缺必填",IF(COUNTIF($A$2:$A$201,A194)&gt;1,"ID重复",IF(COUNTIF('任务登记'!$A$2:$A$201,B194)&lt;&gt;1,"任务ID无效",IF(COUNTIF('材料'!$A$2:$A$201,D194)&lt;&gt;1,"材料ID无效",IF(INDEX('材料'!$B$2:$B$201,MATCH(D194,'材料'!$A$2:$A$201,0))&lt;&gt;INDEX('任务登记'!$B$2:$B$201,MATCH(B194,'任务登记'!$A$2:$A$201,0)),"材料与任务跨案",IF(ISERROR(SEARCH(";"&amp;D194&amp;";",";"&amp;INDEX('任务登记'!$H$2:$H$201,MATCH(B194,'任务登记'!$A$2:$A$201,0))&amp;";")),"材料不在可见清单",IF(COUNTIF('要件与标签'!$D$23:$D$29,INDEX('材料'!$H$2:$H$201,MATCH(D194,'材料'!$A$2:$A$201,0)))&lt;&gt;1,"材料阶段无效",IF(COUNTIF('要件与标签'!$D$23:$D$29,INDEX('任务登记'!$G$2:$G$201,MATCH(B194,'任务登记'!$A$2:$A$201,0)))&lt;&gt;1,"任务阶段无效",IF(MATCH(INDEX('材料'!$H$2:$H$201,MATCH(D194,'材料'!$A$2:$A$201,0)),'要件与标签'!$D$23:$D$29,0)&gt;MATCH(INDEX('任务登记'!$G$2:$G$201,MATCH(B194,'任务登记'!$A$2:$A$201,0)),'要件与标签'!$D$23:$D$29,0),"引用未来材料",IF(AND(G194="REVISE",L194=""),"修订缺新记录",IF(AND(G194="PENDING",Q194=""),"待核缺实质冲突",IF(AND(H194="不受影响",G194&lt;&gt;"KEEP"),"核对范围与处置","字段齐备")))))))))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10" t="str">
        <x:f>IF(COUNTA(A195:Q195)=0,"",IF(OR(A195="",B195="",C195="",D195="",E195="",F195="",G195="",H195="",I195="",J195="",K195="",M195="",N195="",O195="",P195=""),"缺必填",IF(COUNTIF($A$2:$A$201,A195)&gt;1,"ID重复",IF(COUNTIF('任务登记'!$A$2:$A$201,B195)&lt;&gt;1,"任务ID无效",IF(COUNTIF('材料'!$A$2:$A$201,D195)&lt;&gt;1,"材料ID无效",IF(INDEX('材料'!$B$2:$B$201,MATCH(D195,'材料'!$A$2:$A$201,0))&lt;&gt;INDEX('任务登记'!$B$2:$B$201,MATCH(B195,'任务登记'!$A$2:$A$201,0)),"材料与任务跨案",IF(ISERROR(SEARCH(";"&amp;D195&amp;";",";"&amp;INDEX('任务登记'!$H$2:$H$201,MATCH(B195,'任务登记'!$A$2:$A$201,0))&amp;";")),"材料不在可见清单",IF(COUNTIF('要件与标签'!$D$23:$D$29,INDEX('材料'!$H$2:$H$201,MATCH(D195,'材料'!$A$2:$A$201,0)))&lt;&gt;1,"材料阶段无效",IF(COUNTIF('要件与标签'!$D$23:$D$29,INDEX('任务登记'!$G$2:$G$201,MATCH(B195,'任务登记'!$A$2:$A$201,0)))&lt;&gt;1,"任务阶段无效",IF(MATCH(INDEX('材料'!$H$2:$H$201,MATCH(D195,'材料'!$A$2:$A$201,0)),'要件与标签'!$D$23:$D$29,0)&gt;MATCH(INDEX('任务登记'!$G$2:$G$201,MATCH(B195,'任务登记'!$A$2:$A$201,0)),'要件与标签'!$D$23:$D$29,0),"引用未来材料",IF(AND(G195="REVISE",L195=""),"修订缺新记录",IF(AND(G195="PENDING",Q195=""),"待核缺实质冲突",IF(AND(H195="不受影响",G195&lt;&gt;"KEEP"),"核对范围与处置","字段齐备")))))))))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10" t="str">
        <x:f>IF(COUNTA(A196:Q196)=0,"",IF(OR(A196="",B196="",C196="",D196="",E196="",F196="",G196="",H196="",I196="",J196="",K196="",M196="",N196="",O196="",P196=""),"缺必填",IF(COUNTIF($A$2:$A$201,A196)&gt;1,"ID重复",IF(COUNTIF('任务登记'!$A$2:$A$201,B196)&lt;&gt;1,"任务ID无效",IF(COUNTIF('材料'!$A$2:$A$201,D196)&lt;&gt;1,"材料ID无效",IF(INDEX('材料'!$B$2:$B$201,MATCH(D196,'材料'!$A$2:$A$201,0))&lt;&gt;INDEX('任务登记'!$B$2:$B$201,MATCH(B196,'任务登记'!$A$2:$A$201,0)),"材料与任务跨案",IF(ISERROR(SEARCH(";"&amp;D196&amp;";",";"&amp;INDEX('任务登记'!$H$2:$H$201,MATCH(B196,'任务登记'!$A$2:$A$201,0))&amp;";")),"材料不在可见清单",IF(COUNTIF('要件与标签'!$D$23:$D$29,INDEX('材料'!$H$2:$H$201,MATCH(D196,'材料'!$A$2:$A$201,0)))&lt;&gt;1,"材料阶段无效",IF(COUNTIF('要件与标签'!$D$23:$D$29,INDEX('任务登记'!$G$2:$G$201,MATCH(B196,'任务登记'!$A$2:$A$201,0)))&lt;&gt;1,"任务阶段无效",IF(MATCH(INDEX('材料'!$H$2:$H$201,MATCH(D196,'材料'!$A$2:$A$201,0)),'要件与标签'!$D$23:$D$29,0)&gt;MATCH(INDEX('任务登记'!$G$2:$G$201,MATCH(B196,'任务登记'!$A$2:$A$201,0)),'要件与标签'!$D$23:$D$29,0),"引用未来材料",IF(AND(G196="REVISE",L196=""),"修订缺新记录",IF(AND(G196="PENDING",Q196=""),"待核缺实质冲突",IF(AND(H196="不受影响",G196&lt;&gt;"KEEP"),"核对范围与处置","字段齐备")))))))))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10" t="str">
        <x:f>IF(COUNTA(A197:Q197)=0,"",IF(OR(A197="",B197="",C197="",D197="",E197="",F197="",G197="",H197="",I197="",J197="",K197="",M197="",N197="",O197="",P197=""),"缺必填",IF(COUNTIF($A$2:$A$201,A197)&gt;1,"ID重复",IF(COUNTIF('任务登记'!$A$2:$A$201,B197)&lt;&gt;1,"任务ID无效",IF(COUNTIF('材料'!$A$2:$A$201,D197)&lt;&gt;1,"材料ID无效",IF(INDEX('材料'!$B$2:$B$201,MATCH(D197,'材料'!$A$2:$A$201,0))&lt;&gt;INDEX('任务登记'!$B$2:$B$201,MATCH(B197,'任务登记'!$A$2:$A$201,0)),"材料与任务跨案",IF(ISERROR(SEARCH(";"&amp;D197&amp;";",";"&amp;INDEX('任务登记'!$H$2:$H$201,MATCH(B197,'任务登记'!$A$2:$A$201,0))&amp;";")),"材料不在可见清单",IF(COUNTIF('要件与标签'!$D$23:$D$29,INDEX('材料'!$H$2:$H$201,MATCH(D197,'材料'!$A$2:$A$201,0)))&lt;&gt;1,"材料阶段无效",IF(COUNTIF('要件与标签'!$D$23:$D$29,INDEX('任务登记'!$G$2:$G$201,MATCH(B197,'任务登记'!$A$2:$A$201,0)))&lt;&gt;1,"任务阶段无效",IF(MATCH(INDEX('材料'!$H$2:$H$201,MATCH(D197,'材料'!$A$2:$A$201,0)),'要件与标签'!$D$23:$D$29,0)&gt;MATCH(INDEX('任务登记'!$G$2:$G$201,MATCH(B197,'任务登记'!$A$2:$A$201,0)),'要件与标签'!$D$23:$D$29,0),"引用未来材料",IF(AND(G197="REVISE",L197=""),"修订缺新记录",IF(AND(G197="PENDING",Q197=""),"待核缺实质冲突",IF(AND(H197="不受影响",G197&lt;&gt;"KEEP"),"核对范围与处置","字段齐备")))))))))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10" t="str">
        <x:f>IF(COUNTA(A198:Q198)=0,"",IF(OR(A198="",B198="",C198="",D198="",E198="",F198="",G198="",H198="",I198="",J198="",K198="",M198="",N198="",O198="",P198=""),"缺必填",IF(COUNTIF($A$2:$A$201,A198)&gt;1,"ID重复",IF(COUNTIF('任务登记'!$A$2:$A$201,B198)&lt;&gt;1,"任务ID无效",IF(COUNTIF('材料'!$A$2:$A$201,D198)&lt;&gt;1,"材料ID无效",IF(INDEX('材料'!$B$2:$B$201,MATCH(D198,'材料'!$A$2:$A$201,0))&lt;&gt;INDEX('任务登记'!$B$2:$B$201,MATCH(B198,'任务登记'!$A$2:$A$201,0)),"材料与任务跨案",IF(ISERROR(SEARCH(";"&amp;D198&amp;";",";"&amp;INDEX('任务登记'!$H$2:$H$201,MATCH(B198,'任务登记'!$A$2:$A$201,0))&amp;";")),"材料不在可见清单",IF(COUNTIF('要件与标签'!$D$23:$D$29,INDEX('材料'!$H$2:$H$201,MATCH(D198,'材料'!$A$2:$A$201,0)))&lt;&gt;1,"材料阶段无效",IF(COUNTIF('要件与标签'!$D$23:$D$29,INDEX('任务登记'!$G$2:$G$201,MATCH(B198,'任务登记'!$A$2:$A$201,0)))&lt;&gt;1,"任务阶段无效",IF(MATCH(INDEX('材料'!$H$2:$H$201,MATCH(D198,'材料'!$A$2:$A$201,0)),'要件与标签'!$D$23:$D$29,0)&gt;MATCH(INDEX('任务登记'!$G$2:$G$201,MATCH(B198,'任务登记'!$A$2:$A$201,0)),'要件与标签'!$D$23:$D$29,0),"引用未来材料",IF(AND(G198="REVISE",L198=""),"修订缺新记录",IF(AND(G198="PENDING",Q198=""),"待核缺实质冲突",IF(AND(H198="不受影响",G198&lt;&gt;"KEEP"),"核对范围与处置","字段齐备")))))))))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10" t="str">
        <x:f>IF(COUNTA(A199:Q199)=0,"",IF(OR(A199="",B199="",C199="",D199="",E199="",F199="",G199="",H199="",I199="",J199="",K199="",M199="",N199="",O199="",P199=""),"缺必填",IF(COUNTIF($A$2:$A$201,A199)&gt;1,"ID重复",IF(COUNTIF('任务登记'!$A$2:$A$201,B199)&lt;&gt;1,"任务ID无效",IF(COUNTIF('材料'!$A$2:$A$201,D199)&lt;&gt;1,"材料ID无效",IF(INDEX('材料'!$B$2:$B$201,MATCH(D199,'材料'!$A$2:$A$201,0))&lt;&gt;INDEX('任务登记'!$B$2:$B$201,MATCH(B199,'任务登记'!$A$2:$A$201,0)),"材料与任务跨案",IF(ISERROR(SEARCH(";"&amp;D199&amp;";",";"&amp;INDEX('任务登记'!$H$2:$H$201,MATCH(B199,'任务登记'!$A$2:$A$201,0))&amp;";")),"材料不在可见清单",IF(COUNTIF('要件与标签'!$D$23:$D$29,INDEX('材料'!$H$2:$H$201,MATCH(D199,'材料'!$A$2:$A$201,0)))&lt;&gt;1,"材料阶段无效",IF(COUNTIF('要件与标签'!$D$23:$D$29,INDEX('任务登记'!$G$2:$G$201,MATCH(B199,'任务登记'!$A$2:$A$201,0)))&lt;&gt;1,"任务阶段无效",IF(MATCH(INDEX('材料'!$H$2:$H$201,MATCH(D199,'材料'!$A$2:$A$201,0)),'要件与标签'!$D$23:$D$29,0)&gt;MATCH(INDEX('任务登记'!$G$2:$G$201,MATCH(B199,'任务登记'!$A$2:$A$201,0)),'要件与标签'!$D$23:$D$29,0),"引用未来材料",IF(AND(G199="REVISE",L199=""),"修订缺新记录",IF(AND(G199="PENDING",Q199=""),"待核缺实质冲突",IF(AND(H199="不受影响",G199&lt;&gt;"KEEP"),"核对范围与处置","字段齐备")))))))))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10" t="str">
        <x:f>IF(COUNTA(A200:Q200)=0,"",IF(OR(A200="",B200="",C200="",D200="",E200="",F200="",G200="",H200="",I200="",J200="",K200="",M200="",N200="",O200="",P200=""),"缺必填",IF(COUNTIF($A$2:$A$201,A200)&gt;1,"ID重复",IF(COUNTIF('任务登记'!$A$2:$A$201,B200)&lt;&gt;1,"任务ID无效",IF(COUNTIF('材料'!$A$2:$A$201,D200)&lt;&gt;1,"材料ID无效",IF(INDEX('材料'!$B$2:$B$201,MATCH(D200,'材料'!$A$2:$A$201,0))&lt;&gt;INDEX('任务登记'!$B$2:$B$201,MATCH(B200,'任务登记'!$A$2:$A$201,0)),"材料与任务跨案",IF(ISERROR(SEARCH(";"&amp;D200&amp;";",";"&amp;INDEX('任务登记'!$H$2:$H$201,MATCH(B200,'任务登记'!$A$2:$A$201,0))&amp;";")),"材料不在可见清单",IF(COUNTIF('要件与标签'!$D$23:$D$29,INDEX('材料'!$H$2:$H$201,MATCH(D200,'材料'!$A$2:$A$201,0)))&lt;&gt;1,"材料阶段无效",IF(COUNTIF('要件与标签'!$D$23:$D$29,INDEX('任务登记'!$G$2:$G$201,MATCH(B200,'任务登记'!$A$2:$A$201,0)))&lt;&gt;1,"任务阶段无效",IF(MATCH(INDEX('材料'!$H$2:$H$201,MATCH(D200,'材料'!$A$2:$A$201,0)),'要件与标签'!$D$23:$D$29,0)&gt;MATCH(INDEX('任务登记'!$G$2:$G$201,MATCH(B200,'任务登记'!$A$2:$A$201,0)),'要件与标签'!$D$23:$D$29,0),"引用未来材料",IF(AND(G200="REVISE",L200=""),"修订缺新记录",IF(AND(G200="PENDING",Q200=""),"待核缺实质冲突",IF(AND(H200="不受影响",G200&lt;&gt;"KEEP"),"核对范围与处置","字段齐备")))))))))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10" t="str">
        <x:f>IF(COUNTA(A201:Q201)=0,"",IF(OR(A201="",B201="",C201="",D201="",E201="",F201="",G201="",H201="",I201="",J201="",K201="",M201="",N201="",O201="",P201=""),"缺必填",IF(COUNTIF($A$2:$A$201,A201)&gt;1,"ID重复",IF(COUNTIF('任务登记'!$A$2:$A$201,B201)&lt;&gt;1,"任务ID无效",IF(COUNTIF('材料'!$A$2:$A$201,D201)&lt;&gt;1,"材料ID无效",IF(INDEX('材料'!$B$2:$B$201,MATCH(D201,'材料'!$A$2:$A$201,0))&lt;&gt;INDEX('任务登记'!$B$2:$B$201,MATCH(B201,'任务登记'!$A$2:$A$201,0)),"材料与任务跨案",IF(ISERROR(SEARCH(";"&amp;D201&amp;";",";"&amp;INDEX('任务登记'!$H$2:$H$201,MATCH(B201,'任务登记'!$A$2:$A$201,0))&amp;";")),"材料不在可见清单",IF(COUNTIF('要件与标签'!$D$23:$D$29,INDEX('材料'!$H$2:$H$201,MATCH(D201,'材料'!$A$2:$A$201,0)))&lt;&gt;1,"材料阶段无效",IF(COUNTIF('要件与标签'!$D$23:$D$29,INDEX('任务登记'!$G$2:$G$201,MATCH(B201,'任务登记'!$A$2:$A$201,0)))&lt;&gt;1,"任务阶段无效",IF(MATCH(INDEX('材料'!$H$2:$H$201,MATCH(D201,'材料'!$A$2:$A$201,0)),'要件与标签'!$D$23:$D$29,0)&gt;MATCH(INDEX('任务登记'!$G$2:$G$201,MATCH(B201,'任务登记'!$A$2:$A$201,0)),'要件与标签'!$D$23:$D$29,0),"引用未来材料",IF(AND(G201="REVISE",L201=""),"修订缺新记录",IF(AND(G201="PENDING",Q201=""),"待核缺实质冲突",IF(AND(H201="不受影响",G201&lt;&gt;"KEEP"),"核对范围与处置","字段齐备")))))))))))))</x:f>
      </x:c>
    </x:row>
  </x:sheetData>
  <x:conditionalFormatting sqref="A2:R201">
    <x:cfRule type="expression" dxfId="10" priority="1">
      <x:formula>AND($R2&lt;&gt;"",$R2&lt;&gt;"字段齐备")</x:formula>
    </x:cfRule>
  </x:conditionalFormatting>
  <x:dataValidations count="6">
    <x:dataValidation type="list" sqref="E2:E201">
      <x:formula1>"新增,明确更正,撤回,冲突未决,法源变化"</x:formula1>
    </x:dataValidation>
    <x:dataValidation type="list" sqref="G2:G201">
      <x:formula1>"KEEP,REVISE,STOP,PENDING"</x:formula1>
    </x:dataValidation>
    <x:dataValidation type="list" sqref="H2:H201">
      <x:formula1>"必须复核,容许复核,不受影响"</x:formula1>
    </x:dataValidation>
    <x:dataValidation type="list" sqref="I2:I201">
      <x:formula1>"CQ01主体归属,CQ02时间先后,CQ03认识对象,CQ04来源可靠性,CQ05共同来源,CQ06正常业务解释,CQ07推断关联,CQ08资金形成及口径,CQ09共同分工,CQ10规范前提,CQ11证明责任,CQ12范围传播,不适用"</x:formula1>
    </x:dataValidation>
    <x:dataValidation type="list" sqref="J2:J201">
      <x:formula1>"仅提出问题,构成实质挑战,挑战已回应,削弱仍可使用,击败该依据,冲突未解决,不适用"</x:formula1>
    </x:dataValidation>
    <x:dataValidation type="list" sqref="K2:K201">
      <x:formula1>"同一论证修订,旧论证停止,独立新增,原论证保持,资格待核"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222ef769394a3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4" hidden="0" customWidth="1"/>
    <x:col min="8" max="8" width="30" hidden="0" customWidth="1"/>
    <x:col min="9" max="9" width="30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0" hidden="0" customWidth="1"/>
    <x:col min="15" max="15" width="22" hidden="0" customWidth="1"/>
    <x:col min="16" max="16" width="20" hidden="0" customWidth="1"/>
  </x:cols>
  <x:sheetData>
    <x:row r="1" ht="52" customHeight="1">
      <x:c r="A1" s="6" t="str">
        <x:v>审查ID</x:v>
      </x:c>
      <x:c r="B1" s="6" t="str">
        <x:v>任务ID</x:v>
      </x:c>
      <x:c r="C1" s="6" t="str">
        <x:v>模块类别</x:v>
      </x:c>
      <x:c r="D1" s="6" t="str">
        <x:v>对象ID</x:v>
      </x:c>
      <x:c r="E1" s="6" t="str">
        <x:v>对象类型</x:v>
      </x:c>
      <x:c r="F1" s="6" t="str">
        <x:v>审查问题</x:v>
      </x:c>
      <x:c r="G1" s="6" t="str">
        <x:v>事实或原文命题</x:v>
      </x:c>
      <x:c r="H1" s="6" t="str">
        <x:v>支持片段ID</x:v>
      </x:c>
      <x:c r="I1" s="6" t="str">
        <x:v>相反片段ID</x:v>
      </x:c>
      <x:c r="J1" s="6" t="str">
        <x:v>审查状态</x:v>
      </x:c>
      <x:c r="K1" s="6" t="str">
        <x:v>规范ID及条项</x:v>
      </x:c>
      <x:c r="L1" s="6" t="str">
        <x:v>规范适用理由</x:v>
      </x:c>
      <x:c r="M1" s="6" t="str">
        <x:v>缺失项与影响</x:v>
      </x:c>
      <x:c r="N1" s="6" t="str">
        <x:v>需复核的下游ID</x:v>
      </x:c>
      <x:c r="O1" s="6" t="str">
        <x:v>人工意见</x:v>
      </x:c>
      <x:c r="P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10" t="str">
        <x:f>IF(COUNTA(A2:O2)=0,"",IF(OR(A2="",B2="",C2="",D2="",E2="",F2="",G2="",J2="",K2="",L2="",M2="",O2=""),"缺必填",IF(COUNTIF($A$2:$A$201,A2)&gt;1,"ID重复",IF(COUNTIF('任务登记'!$A$2:$A$201,B2)&lt;&gt;1,"任务ID无效","字段齐备"))))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10" t="str">
        <x:f>IF(COUNTA(A3:O3)=0,"",IF(OR(A3="",B3="",C3="",D3="",E3="",F3="",G3="",J3="",K3="",L3="",M3="",O3=""),"缺必填",IF(COUNTIF($A$2:$A$201,A3)&gt;1,"ID重复",IF(COUNTIF('任务登记'!$A$2:$A$201,B3)&lt;&gt;1,"任务ID无效","字段齐备"))))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10" t="str">
        <x:f>IF(COUNTA(A4:O4)=0,"",IF(OR(A4="",B4="",C4="",D4="",E4="",F4="",G4="",J4="",K4="",L4="",M4="",O4=""),"缺必填",IF(COUNTIF($A$2:$A$201,A4)&gt;1,"ID重复",IF(COUNTIF('任务登记'!$A$2:$A$201,B4)&lt;&gt;1,"任务ID无效","字段齐备"))))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10" t="str">
        <x:f>IF(COUNTA(A5:O5)=0,"",IF(OR(A5="",B5="",C5="",D5="",E5="",F5="",G5="",J5="",K5="",L5="",M5="",O5=""),"缺必填",IF(COUNTIF($A$2:$A$201,A5)&gt;1,"ID重复",IF(COUNTIF('任务登记'!$A$2:$A$201,B5)&lt;&gt;1,"任务ID无效","字段齐备"))))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10" t="str">
        <x:f>IF(COUNTA(A6:O6)=0,"",IF(OR(A6="",B6="",C6="",D6="",E6="",F6="",G6="",J6="",K6="",L6="",M6="",O6=""),"缺必填",IF(COUNTIF($A$2:$A$201,A6)&gt;1,"ID重复",IF(COUNTIF('任务登记'!$A$2:$A$201,B6)&lt;&gt;1,"任务ID无效","字段齐备"))))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10" t="str">
        <x:f>IF(COUNTA(A7:O7)=0,"",IF(OR(A7="",B7="",C7="",D7="",E7="",F7="",G7="",J7="",K7="",L7="",M7="",O7=""),"缺必填",IF(COUNTIF($A$2:$A$201,A7)&gt;1,"ID重复",IF(COUNTIF('任务登记'!$A$2:$A$201,B7)&lt;&gt;1,"任务ID无效","字段齐备"))))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10" t="str">
        <x:f>IF(COUNTA(A8:O8)=0,"",IF(OR(A8="",B8="",C8="",D8="",E8="",F8="",G8="",J8="",K8="",L8="",M8="",O8=""),"缺必填",IF(COUNTIF($A$2:$A$201,A8)&gt;1,"ID重复",IF(COUNTIF('任务登记'!$A$2:$A$201,B8)&lt;&gt;1,"任务ID无效","字段齐备"))))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10" t="str">
        <x:f>IF(COUNTA(A9:O9)=0,"",IF(OR(A9="",B9="",C9="",D9="",E9="",F9="",G9="",J9="",K9="",L9="",M9="",O9=""),"缺必填",IF(COUNTIF($A$2:$A$201,A9)&gt;1,"ID重复",IF(COUNTIF('任务登记'!$A$2:$A$201,B9)&lt;&gt;1,"任务ID无效","字段齐备"))))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10" t="str">
        <x:f>IF(COUNTA(A10:O10)=0,"",IF(OR(A10="",B10="",C10="",D10="",E10="",F10="",G10="",J10="",K10="",L10="",M10="",O10=""),"缺必填",IF(COUNTIF($A$2:$A$201,A10)&gt;1,"ID重复",IF(COUNTIF('任务登记'!$A$2:$A$201,B10)&lt;&gt;1,"任务ID无效","字段齐备"))))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10" t="str">
        <x:f>IF(COUNTA(A11:O11)=0,"",IF(OR(A11="",B11="",C11="",D11="",E11="",F11="",G11="",J11="",K11="",L11="",M11="",O11=""),"缺必填",IF(COUNTIF($A$2:$A$201,A11)&gt;1,"ID重复",IF(COUNTIF('任务登记'!$A$2:$A$201,B11)&lt;&gt;1,"任务ID无效","字段齐备"))))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10" t="str">
        <x:f>IF(COUNTA(A12:O12)=0,"",IF(OR(A12="",B12="",C12="",D12="",E12="",F12="",G12="",J12="",K12="",L12="",M12="",O12=""),"缺必填",IF(COUNTIF($A$2:$A$201,A12)&gt;1,"ID重复",IF(COUNTIF('任务登记'!$A$2:$A$201,B12)&lt;&gt;1,"任务ID无效","字段齐备"))))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10" t="str">
        <x:f>IF(COUNTA(A13:O13)=0,"",IF(OR(A13="",B13="",C13="",D13="",E13="",F13="",G13="",J13="",K13="",L13="",M13="",O13=""),"缺必填",IF(COUNTIF($A$2:$A$201,A13)&gt;1,"ID重复",IF(COUNTIF('任务登记'!$A$2:$A$201,B13)&lt;&gt;1,"任务ID无效","字段齐备"))))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10" t="str">
        <x:f>IF(COUNTA(A14:O14)=0,"",IF(OR(A14="",B14="",C14="",D14="",E14="",F14="",G14="",J14="",K14="",L14="",M14="",O14=""),"缺必填",IF(COUNTIF($A$2:$A$201,A14)&gt;1,"ID重复",IF(COUNTIF('任务登记'!$A$2:$A$201,B14)&lt;&gt;1,"任务ID无效","字段齐备"))))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10" t="str">
        <x:f>IF(COUNTA(A15:O15)=0,"",IF(OR(A15="",B15="",C15="",D15="",E15="",F15="",G15="",J15="",K15="",L15="",M15="",O15=""),"缺必填",IF(COUNTIF($A$2:$A$201,A15)&gt;1,"ID重复",IF(COUNTIF('任务登记'!$A$2:$A$201,B15)&lt;&gt;1,"任务ID无效","字段齐备"))))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10" t="str">
        <x:f>IF(COUNTA(A16:O16)=0,"",IF(OR(A16="",B16="",C16="",D16="",E16="",F16="",G16="",J16="",K16="",L16="",M16="",O16=""),"缺必填",IF(COUNTIF($A$2:$A$201,A16)&gt;1,"ID重复",IF(COUNTIF('任务登记'!$A$2:$A$201,B16)&lt;&gt;1,"任务ID无效","字段齐备"))))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10" t="str">
        <x:f>IF(COUNTA(A17:O17)=0,"",IF(OR(A17="",B17="",C17="",D17="",E17="",F17="",G17="",J17="",K17="",L17="",M17="",O17=""),"缺必填",IF(COUNTIF($A$2:$A$201,A17)&gt;1,"ID重复",IF(COUNTIF('任务登记'!$A$2:$A$201,B17)&lt;&gt;1,"任务ID无效","字段齐备"))))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10" t="str">
        <x:f>IF(COUNTA(A18:O18)=0,"",IF(OR(A18="",B18="",C18="",D18="",E18="",F18="",G18="",J18="",K18="",L18="",M18="",O18=""),"缺必填",IF(COUNTIF($A$2:$A$201,A18)&gt;1,"ID重复",IF(COUNTIF('任务登记'!$A$2:$A$201,B18)&lt;&gt;1,"任务ID无效","字段齐备"))))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10" t="str">
        <x:f>IF(COUNTA(A19:O19)=0,"",IF(OR(A19="",B19="",C19="",D19="",E19="",F19="",G19="",J19="",K19="",L19="",M19="",O19=""),"缺必填",IF(COUNTIF($A$2:$A$201,A19)&gt;1,"ID重复",IF(COUNTIF('任务登记'!$A$2:$A$201,B19)&lt;&gt;1,"任务ID无效","字段齐备"))))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10" t="str">
        <x:f>IF(COUNTA(A20:O20)=0,"",IF(OR(A20="",B20="",C20="",D20="",E20="",F20="",G20="",J20="",K20="",L20="",M20="",O20=""),"缺必填",IF(COUNTIF($A$2:$A$201,A20)&gt;1,"ID重复",IF(COUNTIF('任务登记'!$A$2:$A$201,B20)&lt;&gt;1,"任务ID无效","字段齐备"))))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10" t="str">
        <x:f>IF(COUNTA(A21:O21)=0,"",IF(OR(A21="",B21="",C21="",D21="",E21="",F21="",G21="",J21="",K21="",L21="",M21="",O21=""),"缺必填",IF(COUNTIF($A$2:$A$201,A21)&gt;1,"ID重复",IF(COUNTIF('任务登记'!$A$2:$A$201,B21)&lt;&gt;1,"任务ID无效","字段齐备"))))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10" t="str">
        <x:f>IF(COUNTA(A22:O22)=0,"",IF(OR(A22="",B22="",C22="",D22="",E22="",F22="",G22="",J22="",K22="",L22="",M22="",O22=""),"缺必填",IF(COUNTIF($A$2:$A$201,A22)&gt;1,"ID重复",IF(COUNTIF('任务登记'!$A$2:$A$201,B22)&lt;&gt;1,"任务ID无效","字段齐备"))))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10" t="str">
        <x:f>IF(COUNTA(A23:O23)=0,"",IF(OR(A23="",B23="",C23="",D23="",E23="",F23="",G23="",J23="",K23="",L23="",M23="",O23=""),"缺必填",IF(COUNTIF($A$2:$A$201,A23)&gt;1,"ID重复",IF(COUNTIF('任务登记'!$A$2:$A$201,B23)&lt;&gt;1,"任务ID无效","字段齐备"))))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10" t="str">
        <x:f>IF(COUNTA(A24:O24)=0,"",IF(OR(A24="",B24="",C24="",D24="",E24="",F24="",G24="",J24="",K24="",L24="",M24="",O24=""),"缺必填",IF(COUNTIF($A$2:$A$201,A24)&gt;1,"ID重复",IF(COUNTIF('任务登记'!$A$2:$A$201,B24)&lt;&gt;1,"任务ID无效","字段齐备"))))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10" t="str">
        <x:f>IF(COUNTA(A25:O25)=0,"",IF(OR(A25="",B25="",C25="",D25="",E25="",F25="",G25="",J25="",K25="",L25="",M25="",O25=""),"缺必填",IF(COUNTIF($A$2:$A$201,A25)&gt;1,"ID重复",IF(COUNTIF('任务登记'!$A$2:$A$201,B25)&lt;&gt;1,"任务ID无效","字段齐备"))))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10" t="str">
        <x:f>IF(COUNTA(A26:O26)=0,"",IF(OR(A26="",B26="",C26="",D26="",E26="",F26="",G26="",J26="",K26="",L26="",M26="",O26=""),"缺必填",IF(COUNTIF($A$2:$A$201,A26)&gt;1,"ID重复",IF(COUNTIF('任务登记'!$A$2:$A$201,B26)&lt;&gt;1,"任务ID无效","字段齐备"))))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10" t="str">
        <x:f>IF(COUNTA(A27:O27)=0,"",IF(OR(A27="",B27="",C27="",D27="",E27="",F27="",G27="",J27="",K27="",L27="",M27="",O27=""),"缺必填",IF(COUNTIF($A$2:$A$201,A27)&gt;1,"ID重复",IF(COUNTIF('任务登记'!$A$2:$A$201,B27)&lt;&gt;1,"任务ID无效","字段齐备"))))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10" t="str">
        <x:f>IF(COUNTA(A28:O28)=0,"",IF(OR(A28="",B28="",C28="",D28="",E28="",F28="",G28="",J28="",K28="",L28="",M28="",O28=""),"缺必填",IF(COUNTIF($A$2:$A$201,A28)&gt;1,"ID重复",IF(COUNTIF('任务登记'!$A$2:$A$201,B28)&lt;&gt;1,"任务ID无效","字段齐备"))))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10" t="str">
        <x:f>IF(COUNTA(A29:O29)=0,"",IF(OR(A29="",B29="",C29="",D29="",E29="",F29="",G29="",J29="",K29="",L29="",M29="",O29=""),"缺必填",IF(COUNTIF($A$2:$A$201,A29)&gt;1,"ID重复",IF(COUNTIF('任务登记'!$A$2:$A$201,B29)&lt;&gt;1,"任务ID无效","字段齐备"))))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10" t="str">
        <x:f>IF(COUNTA(A30:O30)=0,"",IF(OR(A30="",B30="",C30="",D30="",E30="",F30="",G30="",J30="",K30="",L30="",M30="",O30=""),"缺必填",IF(COUNTIF($A$2:$A$201,A30)&gt;1,"ID重复",IF(COUNTIF('任务登记'!$A$2:$A$201,B30)&lt;&gt;1,"任务ID无效","字段齐备"))))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10" t="str">
        <x:f>IF(COUNTA(A31:O31)=0,"",IF(OR(A31="",B31="",C31="",D31="",E31="",F31="",G31="",J31="",K31="",L31="",M31="",O31=""),"缺必填",IF(COUNTIF($A$2:$A$201,A31)&gt;1,"ID重复",IF(COUNTIF('任务登记'!$A$2:$A$201,B31)&lt;&gt;1,"任务ID无效","字段齐备"))))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10" t="str">
        <x:f>IF(COUNTA(A32:O32)=0,"",IF(OR(A32="",B32="",C32="",D32="",E32="",F32="",G32="",J32="",K32="",L32="",M32="",O32=""),"缺必填",IF(COUNTIF($A$2:$A$201,A32)&gt;1,"ID重复",IF(COUNTIF('任务登记'!$A$2:$A$201,B32)&lt;&gt;1,"任务ID无效","字段齐备"))))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10" t="str">
        <x:f>IF(COUNTA(A33:O33)=0,"",IF(OR(A33="",B33="",C33="",D33="",E33="",F33="",G33="",J33="",K33="",L33="",M33="",O33=""),"缺必填",IF(COUNTIF($A$2:$A$201,A33)&gt;1,"ID重复",IF(COUNTIF('任务登记'!$A$2:$A$201,B33)&lt;&gt;1,"任务ID无效","字段齐备"))))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10" t="str">
        <x:f>IF(COUNTA(A34:O34)=0,"",IF(OR(A34="",B34="",C34="",D34="",E34="",F34="",G34="",J34="",K34="",L34="",M34="",O34=""),"缺必填",IF(COUNTIF($A$2:$A$201,A34)&gt;1,"ID重复",IF(COUNTIF('任务登记'!$A$2:$A$201,B34)&lt;&gt;1,"任务ID无效","字段齐备"))))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10" t="str">
        <x:f>IF(COUNTA(A35:O35)=0,"",IF(OR(A35="",B35="",C35="",D35="",E35="",F35="",G35="",J35="",K35="",L35="",M35="",O35=""),"缺必填",IF(COUNTIF($A$2:$A$201,A35)&gt;1,"ID重复",IF(COUNTIF('任务登记'!$A$2:$A$201,B35)&lt;&gt;1,"任务ID无效","字段齐备"))))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10" t="str">
        <x:f>IF(COUNTA(A36:O36)=0,"",IF(OR(A36="",B36="",C36="",D36="",E36="",F36="",G36="",J36="",K36="",L36="",M36="",O36=""),"缺必填",IF(COUNTIF($A$2:$A$201,A36)&gt;1,"ID重复",IF(COUNTIF('任务登记'!$A$2:$A$201,B36)&lt;&gt;1,"任务ID无效","字段齐备"))))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10" t="str">
        <x:f>IF(COUNTA(A37:O37)=0,"",IF(OR(A37="",B37="",C37="",D37="",E37="",F37="",G37="",J37="",K37="",L37="",M37="",O37=""),"缺必填",IF(COUNTIF($A$2:$A$201,A37)&gt;1,"ID重复",IF(COUNTIF('任务登记'!$A$2:$A$201,B37)&lt;&gt;1,"任务ID无效","字段齐备"))))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10" t="str">
        <x:f>IF(COUNTA(A38:O38)=0,"",IF(OR(A38="",B38="",C38="",D38="",E38="",F38="",G38="",J38="",K38="",L38="",M38="",O38=""),"缺必填",IF(COUNTIF($A$2:$A$201,A38)&gt;1,"ID重复",IF(COUNTIF('任务登记'!$A$2:$A$201,B38)&lt;&gt;1,"任务ID无效","字段齐备"))))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10" t="str">
        <x:f>IF(COUNTA(A39:O39)=0,"",IF(OR(A39="",B39="",C39="",D39="",E39="",F39="",G39="",J39="",K39="",L39="",M39="",O39=""),"缺必填",IF(COUNTIF($A$2:$A$201,A39)&gt;1,"ID重复",IF(COUNTIF('任务登记'!$A$2:$A$201,B39)&lt;&gt;1,"任务ID无效","字段齐备"))))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10" t="str">
        <x:f>IF(COUNTA(A40:O40)=0,"",IF(OR(A40="",B40="",C40="",D40="",E40="",F40="",G40="",J40="",K40="",L40="",M40="",O40=""),"缺必填",IF(COUNTIF($A$2:$A$201,A40)&gt;1,"ID重复",IF(COUNTIF('任务登记'!$A$2:$A$201,B40)&lt;&gt;1,"任务ID无效","字段齐备"))))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10" t="str">
        <x:f>IF(COUNTA(A41:O41)=0,"",IF(OR(A41="",B41="",C41="",D41="",E41="",F41="",G41="",J41="",K41="",L41="",M41="",O41=""),"缺必填",IF(COUNTIF($A$2:$A$201,A41)&gt;1,"ID重复",IF(COUNTIF('任务登记'!$A$2:$A$201,B41)&lt;&gt;1,"任务ID无效","字段齐备"))))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10" t="str">
        <x:f>IF(COUNTA(A42:O42)=0,"",IF(OR(A42="",B42="",C42="",D42="",E42="",F42="",G42="",J42="",K42="",L42="",M42="",O42=""),"缺必填",IF(COUNTIF($A$2:$A$201,A42)&gt;1,"ID重复",IF(COUNTIF('任务登记'!$A$2:$A$201,B42)&lt;&gt;1,"任务ID无效","字段齐备"))))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10" t="str">
        <x:f>IF(COUNTA(A43:O43)=0,"",IF(OR(A43="",B43="",C43="",D43="",E43="",F43="",G43="",J43="",K43="",L43="",M43="",O43=""),"缺必填",IF(COUNTIF($A$2:$A$201,A43)&gt;1,"ID重复",IF(COUNTIF('任务登记'!$A$2:$A$201,B43)&lt;&gt;1,"任务ID无效","字段齐备"))))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10" t="str">
        <x:f>IF(COUNTA(A44:O44)=0,"",IF(OR(A44="",B44="",C44="",D44="",E44="",F44="",G44="",J44="",K44="",L44="",M44="",O44=""),"缺必填",IF(COUNTIF($A$2:$A$201,A44)&gt;1,"ID重复",IF(COUNTIF('任务登记'!$A$2:$A$201,B44)&lt;&gt;1,"任务ID无效","字段齐备"))))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10" t="str">
        <x:f>IF(COUNTA(A45:O45)=0,"",IF(OR(A45="",B45="",C45="",D45="",E45="",F45="",G45="",J45="",K45="",L45="",M45="",O45=""),"缺必填",IF(COUNTIF($A$2:$A$201,A45)&gt;1,"ID重复",IF(COUNTIF('任务登记'!$A$2:$A$201,B45)&lt;&gt;1,"任务ID无效","字段齐备"))))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10" t="str">
        <x:f>IF(COUNTA(A46:O46)=0,"",IF(OR(A46="",B46="",C46="",D46="",E46="",F46="",G46="",J46="",K46="",L46="",M46="",O46=""),"缺必填",IF(COUNTIF($A$2:$A$201,A46)&gt;1,"ID重复",IF(COUNTIF('任务登记'!$A$2:$A$201,B46)&lt;&gt;1,"任务ID无效","字段齐备"))))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10" t="str">
        <x:f>IF(COUNTA(A47:O47)=0,"",IF(OR(A47="",B47="",C47="",D47="",E47="",F47="",G47="",J47="",K47="",L47="",M47="",O47=""),"缺必填",IF(COUNTIF($A$2:$A$201,A47)&gt;1,"ID重复",IF(COUNTIF('任务登记'!$A$2:$A$201,B47)&lt;&gt;1,"任务ID无效","字段齐备"))))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10" t="str">
        <x:f>IF(COUNTA(A48:O48)=0,"",IF(OR(A48="",B48="",C48="",D48="",E48="",F48="",G48="",J48="",K48="",L48="",M48="",O48=""),"缺必填",IF(COUNTIF($A$2:$A$201,A48)&gt;1,"ID重复",IF(COUNTIF('任务登记'!$A$2:$A$201,B48)&lt;&gt;1,"任务ID无效","字段齐备"))))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10" t="str">
        <x:f>IF(COUNTA(A49:O49)=0,"",IF(OR(A49="",B49="",C49="",D49="",E49="",F49="",G49="",J49="",K49="",L49="",M49="",O49=""),"缺必填",IF(COUNTIF($A$2:$A$201,A49)&gt;1,"ID重复",IF(COUNTIF('任务登记'!$A$2:$A$201,B49)&lt;&gt;1,"任务ID无效","字段齐备"))))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10" t="str">
        <x:f>IF(COUNTA(A50:O50)=0,"",IF(OR(A50="",B50="",C50="",D50="",E50="",F50="",G50="",J50="",K50="",L50="",M50="",O50=""),"缺必填",IF(COUNTIF($A$2:$A$201,A50)&gt;1,"ID重复",IF(COUNTIF('任务登记'!$A$2:$A$201,B50)&lt;&gt;1,"任务ID无效","字段齐备"))))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10" t="str">
        <x:f>IF(COUNTA(A51:O51)=0,"",IF(OR(A51="",B51="",C51="",D51="",E51="",F51="",G51="",J51="",K51="",L51="",M51="",O51=""),"缺必填",IF(COUNTIF($A$2:$A$201,A51)&gt;1,"ID重复",IF(COUNTIF('任务登记'!$A$2:$A$201,B51)&lt;&gt;1,"任务ID无效","字段齐备"))))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10" t="str">
        <x:f>IF(COUNTA(A52:O52)=0,"",IF(OR(A52="",B52="",C52="",D52="",E52="",F52="",G52="",J52="",K52="",L52="",M52="",O52=""),"缺必填",IF(COUNTIF($A$2:$A$201,A52)&gt;1,"ID重复",IF(COUNTIF('任务登记'!$A$2:$A$201,B52)&lt;&gt;1,"任务ID无效","字段齐备"))))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10" t="str">
        <x:f>IF(COUNTA(A53:O53)=0,"",IF(OR(A53="",B53="",C53="",D53="",E53="",F53="",G53="",J53="",K53="",L53="",M53="",O53=""),"缺必填",IF(COUNTIF($A$2:$A$201,A53)&gt;1,"ID重复",IF(COUNTIF('任务登记'!$A$2:$A$201,B53)&lt;&gt;1,"任务ID无效","字段齐备"))))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10" t="str">
        <x:f>IF(COUNTA(A54:O54)=0,"",IF(OR(A54="",B54="",C54="",D54="",E54="",F54="",G54="",J54="",K54="",L54="",M54="",O54=""),"缺必填",IF(COUNTIF($A$2:$A$201,A54)&gt;1,"ID重复",IF(COUNTIF('任务登记'!$A$2:$A$201,B54)&lt;&gt;1,"任务ID无效","字段齐备"))))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10" t="str">
        <x:f>IF(COUNTA(A55:O55)=0,"",IF(OR(A55="",B55="",C55="",D55="",E55="",F55="",G55="",J55="",K55="",L55="",M55="",O55=""),"缺必填",IF(COUNTIF($A$2:$A$201,A55)&gt;1,"ID重复",IF(COUNTIF('任务登记'!$A$2:$A$201,B55)&lt;&gt;1,"任务ID无效","字段齐备"))))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10" t="str">
        <x:f>IF(COUNTA(A56:O56)=0,"",IF(OR(A56="",B56="",C56="",D56="",E56="",F56="",G56="",J56="",K56="",L56="",M56="",O56=""),"缺必填",IF(COUNTIF($A$2:$A$201,A56)&gt;1,"ID重复",IF(COUNTIF('任务登记'!$A$2:$A$201,B56)&lt;&gt;1,"任务ID无效","字段齐备"))))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10" t="str">
        <x:f>IF(COUNTA(A57:O57)=0,"",IF(OR(A57="",B57="",C57="",D57="",E57="",F57="",G57="",J57="",K57="",L57="",M57="",O57=""),"缺必填",IF(COUNTIF($A$2:$A$201,A57)&gt;1,"ID重复",IF(COUNTIF('任务登记'!$A$2:$A$201,B57)&lt;&gt;1,"任务ID无效","字段齐备"))))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10" t="str">
        <x:f>IF(COUNTA(A58:O58)=0,"",IF(OR(A58="",B58="",C58="",D58="",E58="",F58="",G58="",J58="",K58="",L58="",M58="",O58=""),"缺必填",IF(COUNTIF($A$2:$A$201,A58)&gt;1,"ID重复",IF(COUNTIF('任务登记'!$A$2:$A$201,B58)&lt;&gt;1,"任务ID无效","字段齐备"))))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10" t="str">
        <x:f>IF(COUNTA(A59:O59)=0,"",IF(OR(A59="",B59="",C59="",D59="",E59="",F59="",G59="",J59="",K59="",L59="",M59="",O59=""),"缺必填",IF(COUNTIF($A$2:$A$201,A59)&gt;1,"ID重复",IF(COUNTIF('任务登记'!$A$2:$A$201,B59)&lt;&gt;1,"任务ID无效","字段齐备"))))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10" t="str">
        <x:f>IF(COUNTA(A60:O60)=0,"",IF(OR(A60="",B60="",C60="",D60="",E60="",F60="",G60="",J60="",K60="",L60="",M60="",O60=""),"缺必填",IF(COUNTIF($A$2:$A$201,A60)&gt;1,"ID重复",IF(COUNTIF('任务登记'!$A$2:$A$201,B60)&lt;&gt;1,"任务ID无效","字段齐备"))))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10" t="str">
        <x:f>IF(COUNTA(A61:O61)=0,"",IF(OR(A61="",B61="",C61="",D61="",E61="",F61="",G61="",J61="",K61="",L61="",M61="",O61=""),"缺必填",IF(COUNTIF($A$2:$A$201,A61)&gt;1,"ID重复",IF(COUNTIF('任务登记'!$A$2:$A$201,B61)&lt;&gt;1,"任务ID无效","字段齐备"))))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10" t="str">
        <x:f>IF(COUNTA(A62:O62)=0,"",IF(OR(A62="",B62="",C62="",D62="",E62="",F62="",G62="",J62="",K62="",L62="",M62="",O62=""),"缺必填",IF(COUNTIF($A$2:$A$201,A62)&gt;1,"ID重复",IF(COUNTIF('任务登记'!$A$2:$A$201,B62)&lt;&gt;1,"任务ID无效","字段齐备"))))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10" t="str">
        <x:f>IF(COUNTA(A63:O63)=0,"",IF(OR(A63="",B63="",C63="",D63="",E63="",F63="",G63="",J63="",K63="",L63="",M63="",O63=""),"缺必填",IF(COUNTIF($A$2:$A$201,A63)&gt;1,"ID重复",IF(COUNTIF('任务登记'!$A$2:$A$201,B63)&lt;&gt;1,"任务ID无效","字段齐备"))))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10" t="str">
        <x:f>IF(COUNTA(A64:O64)=0,"",IF(OR(A64="",B64="",C64="",D64="",E64="",F64="",G64="",J64="",K64="",L64="",M64="",O64=""),"缺必填",IF(COUNTIF($A$2:$A$201,A64)&gt;1,"ID重复",IF(COUNTIF('任务登记'!$A$2:$A$201,B64)&lt;&gt;1,"任务ID无效","字段齐备"))))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10" t="str">
        <x:f>IF(COUNTA(A65:O65)=0,"",IF(OR(A65="",B65="",C65="",D65="",E65="",F65="",G65="",J65="",K65="",L65="",M65="",O65=""),"缺必填",IF(COUNTIF($A$2:$A$201,A65)&gt;1,"ID重复",IF(COUNTIF('任务登记'!$A$2:$A$201,B65)&lt;&gt;1,"任务ID无效","字段齐备"))))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10" t="str">
        <x:f>IF(COUNTA(A66:O66)=0,"",IF(OR(A66="",B66="",C66="",D66="",E66="",F66="",G66="",J66="",K66="",L66="",M66="",O66=""),"缺必填",IF(COUNTIF($A$2:$A$201,A66)&gt;1,"ID重复",IF(COUNTIF('任务登记'!$A$2:$A$201,B66)&lt;&gt;1,"任务ID无效","字段齐备"))))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10" t="str">
        <x:f>IF(COUNTA(A67:O67)=0,"",IF(OR(A67="",B67="",C67="",D67="",E67="",F67="",G67="",J67="",K67="",L67="",M67="",O67=""),"缺必填",IF(COUNTIF($A$2:$A$201,A67)&gt;1,"ID重复",IF(COUNTIF('任务登记'!$A$2:$A$201,B67)&lt;&gt;1,"任务ID无效","字段齐备"))))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10" t="str">
        <x:f>IF(COUNTA(A68:O68)=0,"",IF(OR(A68="",B68="",C68="",D68="",E68="",F68="",G68="",J68="",K68="",L68="",M68="",O68=""),"缺必填",IF(COUNTIF($A$2:$A$201,A68)&gt;1,"ID重复",IF(COUNTIF('任务登记'!$A$2:$A$201,B68)&lt;&gt;1,"任务ID无效","字段齐备"))))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10" t="str">
        <x:f>IF(COUNTA(A69:O69)=0,"",IF(OR(A69="",B69="",C69="",D69="",E69="",F69="",G69="",J69="",K69="",L69="",M69="",O69=""),"缺必填",IF(COUNTIF($A$2:$A$201,A69)&gt;1,"ID重复",IF(COUNTIF('任务登记'!$A$2:$A$201,B69)&lt;&gt;1,"任务ID无效","字段齐备"))))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10" t="str">
        <x:f>IF(COUNTA(A70:O70)=0,"",IF(OR(A70="",B70="",C70="",D70="",E70="",F70="",G70="",J70="",K70="",L70="",M70="",O70=""),"缺必填",IF(COUNTIF($A$2:$A$201,A70)&gt;1,"ID重复",IF(COUNTIF('任务登记'!$A$2:$A$201,B70)&lt;&gt;1,"任务ID无效","字段齐备"))))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10" t="str">
        <x:f>IF(COUNTA(A71:O71)=0,"",IF(OR(A71="",B71="",C71="",D71="",E71="",F71="",G71="",J71="",K71="",L71="",M71="",O71=""),"缺必填",IF(COUNTIF($A$2:$A$201,A71)&gt;1,"ID重复",IF(COUNTIF('任务登记'!$A$2:$A$201,B71)&lt;&gt;1,"任务ID无效","字段齐备"))))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10" t="str">
        <x:f>IF(COUNTA(A72:O72)=0,"",IF(OR(A72="",B72="",C72="",D72="",E72="",F72="",G72="",J72="",K72="",L72="",M72="",O72=""),"缺必填",IF(COUNTIF($A$2:$A$201,A72)&gt;1,"ID重复",IF(COUNTIF('任务登记'!$A$2:$A$201,B72)&lt;&gt;1,"任务ID无效","字段齐备"))))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10" t="str">
        <x:f>IF(COUNTA(A73:O73)=0,"",IF(OR(A73="",B73="",C73="",D73="",E73="",F73="",G73="",J73="",K73="",L73="",M73="",O73=""),"缺必填",IF(COUNTIF($A$2:$A$201,A73)&gt;1,"ID重复",IF(COUNTIF('任务登记'!$A$2:$A$201,B73)&lt;&gt;1,"任务ID无效","字段齐备"))))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10" t="str">
        <x:f>IF(COUNTA(A74:O74)=0,"",IF(OR(A74="",B74="",C74="",D74="",E74="",F74="",G74="",J74="",K74="",L74="",M74="",O74=""),"缺必填",IF(COUNTIF($A$2:$A$201,A74)&gt;1,"ID重复",IF(COUNTIF('任务登记'!$A$2:$A$201,B74)&lt;&gt;1,"任务ID无效","字段齐备"))))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10" t="str">
        <x:f>IF(COUNTA(A75:O75)=0,"",IF(OR(A75="",B75="",C75="",D75="",E75="",F75="",G75="",J75="",K75="",L75="",M75="",O75=""),"缺必填",IF(COUNTIF($A$2:$A$201,A75)&gt;1,"ID重复",IF(COUNTIF('任务登记'!$A$2:$A$201,B75)&lt;&gt;1,"任务ID无效","字段齐备"))))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10" t="str">
        <x:f>IF(COUNTA(A76:O76)=0,"",IF(OR(A76="",B76="",C76="",D76="",E76="",F76="",G76="",J76="",K76="",L76="",M76="",O76=""),"缺必填",IF(COUNTIF($A$2:$A$201,A76)&gt;1,"ID重复",IF(COUNTIF('任务登记'!$A$2:$A$201,B76)&lt;&gt;1,"任务ID无效","字段齐备"))))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10" t="str">
        <x:f>IF(COUNTA(A77:O77)=0,"",IF(OR(A77="",B77="",C77="",D77="",E77="",F77="",G77="",J77="",K77="",L77="",M77="",O77=""),"缺必填",IF(COUNTIF($A$2:$A$201,A77)&gt;1,"ID重复",IF(COUNTIF('任务登记'!$A$2:$A$201,B77)&lt;&gt;1,"任务ID无效","字段齐备"))))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10" t="str">
        <x:f>IF(COUNTA(A78:O78)=0,"",IF(OR(A78="",B78="",C78="",D78="",E78="",F78="",G78="",J78="",K78="",L78="",M78="",O78=""),"缺必填",IF(COUNTIF($A$2:$A$201,A78)&gt;1,"ID重复",IF(COUNTIF('任务登记'!$A$2:$A$201,B78)&lt;&gt;1,"任务ID无效","字段齐备"))))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10" t="str">
        <x:f>IF(COUNTA(A79:O79)=0,"",IF(OR(A79="",B79="",C79="",D79="",E79="",F79="",G79="",J79="",K79="",L79="",M79="",O79=""),"缺必填",IF(COUNTIF($A$2:$A$201,A79)&gt;1,"ID重复",IF(COUNTIF('任务登记'!$A$2:$A$201,B79)&lt;&gt;1,"任务ID无效","字段齐备"))))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10" t="str">
        <x:f>IF(COUNTA(A80:O80)=0,"",IF(OR(A80="",B80="",C80="",D80="",E80="",F80="",G80="",J80="",K80="",L80="",M80="",O80=""),"缺必填",IF(COUNTIF($A$2:$A$201,A80)&gt;1,"ID重复",IF(COUNTIF('任务登记'!$A$2:$A$201,B80)&lt;&gt;1,"任务ID无效","字段齐备"))))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10" t="str">
        <x:f>IF(COUNTA(A81:O81)=0,"",IF(OR(A81="",B81="",C81="",D81="",E81="",F81="",G81="",J81="",K81="",L81="",M81="",O81=""),"缺必填",IF(COUNTIF($A$2:$A$201,A81)&gt;1,"ID重复",IF(COUNTIF('任务登记'!$A$2:$A$201,B81)&lt;&gt;1,"任务ID无效","字段齐备"))))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10" t="str">
        <x:f>IF(COUNTA(A82:O82)=0,"",IF(OR(A82="",B82="",C82="",D82="",E82="",F82="",G82="",J82="",K82="",L82="",M82="",O82=""),"缺必填",IF(COUNTIF($A$2:$A$201,A82)&gt;1,"ID重复",IF(COUNTIF('任务登记'!$A$2:$A$201,B82)&lt;&gt;1,"任务ID无效","字段齐备"))))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10" t="str">
        <x:f>IF(COUNTA(A83:O83)=0,"",IF(OR(A83="",B83="",C83="",D83="",E83="",F83="",G83="",J83="",K83="",L83="",M83="",O83=""),"缺必填",IF(COUNTIF($A$2:$A$201,A83)&gt;1,"ID重复",IF(COUNTIF('任务登记'!$A$2:$A$201,B83)&lt;&gt;1,"任务ID无效","字段齐备"))))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10" t="str">
        <x:f>IF(COUNTA(A84:O84)=0,"",IF(OR(A84="",B84="",C84="",D84="",E84="",F84="",G84="",J84="",K84="",L84="",M84="",O84=""),"缺必填",IF(COUNTIF($A$2:$A$201,A84)&gt;1,"ID重复",IF(COUNTIF('任务登记'!$A$2:$A$201,B84)&lt;&gt;1,"任务ID无效","字段齐备"))))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10" t="str">
        <x:f>IF(COUNTA(A85:O85)=0,"",IF(OR(A85="",B85="",C85="",D85="",E85="",F85="",G85="",J85="",K85="",L85="",M85="",O85=""),"缺必填",IF(COUNTIF($A$2:$A$201,A85)&gt;1,"ID重复",IF(COUNTIF('任务登记'!$A$2:$A$201,B85)&lt;&gt;1,"任务ID无效","字段齐备"))))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10" t="str">
        <x:f>IF(COUNTA(A86:O86)=0,"",IF(OR(A86="",B86="",C86="",D86="",E86="",F86="",G86="",J86="",K86="",L86="",M86="",O86=""),"缺必填",IF(COUNTIF($A$2:$A$201,A86)&gt;1,"ID重复",IF(COUNTIF('任务登记'!$A$2:$A$201,B86)&lt;&gt;1,"任务ID无效","字段齐备"))))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10" t="str">
        <x:f>IF(COUNTA(A87:O87)=0,"",IF(OR(A87="",B87="",C87="",D87="",E87="",F87="",G87="",J87="",K87="",L87="",M87="",O87=""),"缺必填",IF(COUNTIF($A$2:$A$201,A87)&gt;1,"ID重复",IF(COUNTIF('任务登记'!$A$2:$A$201,B87)&lt;&gt;1,"任务ID无效","字段齐备"))))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10" t="str">
        <x:f>IF(COUNTA(A88:O88)=0,"",IF(OR(A88="",B88="",C88="",D88="",E88="",F88="",G88="",J88="",K88="",L88="",M88="",O88=""),"缺必填",IF(COUNTIF($A$2:$A$201,A88)&gt;1,"ID重复",IF(COUNTIF('任务登记'!$A$2:$A$201,B88)&lt;&gt;1,"任务ID无效","字段齐备"))))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10" t="str">
        <x:f>IF(COUNTA(A89:O89)=0,"",IF(OR(A89="",B89="",C89="",D89="",E89="",F89="",G89="",J89="",K89="",L89="",M89="",O89=""),"缺必填",IF(COUNTIF($A$2:$A$201,A89)&gt;1,"ID重复",IF(COUNTIF('任务登记'!$A$2:$A$201,B89)&lt;&gt;1,"任务ID无效","字段齐备"))))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10" t="str">
        <x:f>IF(COUNTA(A90:O90)=0,"",IF(OR(A90="",B90="",C90="",D90="",E90="",F90="",G90="",J90="",K90="",L90="",M90="",O90=""),"缺必填",IF(COUNTIF($A$2:$A$201,A90)&gt;1,"ID重复",IF(COUNTIF('任务登记'!$A$2:$A$201,B90)&lt;&gt;1,"任务ID无效","字段齐备"))))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10" t="str">
        <x:f>IF(COUNTA(A91:O91)=0,"",IF(OR(A91="",B91="",C91="",D91="",E91="",F91="",G91="",J91="",K91="",L91="",M91="",O91=""),"缺必填",IF(COUNTIF($A$2:$A$201,A91)&gt;1,"ID重复",IF(COUNTIF('任务登记'!$A$2:$A$201,B91)&lt;&gt;1,"任务ID无效","字段齐备"))))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10" t="str">
        <x:f>IF(COUNTA(A92:O92)=0,"",IF(OR(A92="",B92="",C92="",D92="",E92="",F92="",G92="",J92="",K92="",L92="",M92="",O92=""),"缺必填",IF(COUNTIF($A$2:$A$201,A92)&gt;1,"ID重复",IF(COUNTIF('任务登记'!$A$2:$A$201,B92)&lt;&gt;1,"任务ID无效","字段齐备"))))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10" t="str">
        <x:f>IF(COUNTA(A93:O93)=0,"",IF(OR(A93="",B93="",C93="",D93="",E93="",F93="",G93="",J93="",K93="",L93="",M93="",O93=""),"缺必填",IF(COUNTIF($A$2:$A$201,A93)&gt;1,"ID重复",IF(COUNTIF('任务登记'!$A$2:$A$201,B93)&lt;&gt;1,"任务ID无效","字段齐备"))))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10" t="str">
        <x:f>IF(COUNTA(A94:O94)=0,"",IF(OR(A94="",B94="",C94="",D94="",E94="",F94="",G94="",J94="",K94="",L94="",M94="",O94=""),"缺必填",IF(COUNTIF($A$2:$A$201,A94)&gt;1,"ID重复",IF(COUNTIF('任务登记'!$A$2:$A$201,B94)&lt;&gt;1,"任务ID无效","字段齐备"))))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10" t="str">
        <x:f>IF(COUNTA(A95:O95)=0,"",IF(OR(A95="",B95="",C95="",D95="",E95="",F95="",G95="",J95="",K95="",L95="",M95="",O95=""),"缺必填",IF(COUNTIF($A$2:$A$201,A95)&gt;1,"ID重复",IF(COUNTIF('任务登记'!$A$2:$A$201,B95)&lt;&gt;1,"任务ID无效","字段齐备"))))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10" t="str">
        <x:f>IF(COUNTA(A96:O96)=0,"",IF(OR(A96="",B96="",C96="",D96="",E96="",F96="",G96="",J96="",K96="",L96="",M96="",O96=""),"缺必填",IF(COUNTIF($A$2:$A$201,A96)&gt;1,"ID重复",IF(COUNTIF('任务登记'!$A$2:$A$201,B96)&lt;&gt;1,"任务ID无效","字段齐备"))))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10" t="str">
        <x:f>IF(COUNTA(A97:O97)=0,"",IF(OR(A97="",B97="",C97="",D97="",E97="",F97="",G97="",J97="",K97="",L97="",M97="",O97=""),"缺必填",IF(COUNTIF($A$2:$A$201,A97)&gt;1,"ID重复",IF(COUNTIF('任务登记'!$A$2:$A$201,B97)&lt;&gt;1,"任务ID无效","字段齐备"))))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10" t="str">
        <x:f>IF(COUNTA(A98:O98)=0,"",IF(OR(A98="",B98="",C98="",D98="",E98="",F98="",G98="",J98="",K98="",L98="",M98="",O98=""),"缺必填",IF(COUNTIF($A$2:$A$201,A98)&gt;1,"ID重复",IF(COUNTIF('任务登记'!$A$2:$A$201,B98)&lt;&gt;1,"任务ID无效","字段齐备"))))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10" t="str">
        <x:f>IF(COUNTA(A99:O99)=0,"",IF(OR(A99="",B99="",C99="",D99="",E99="",F99="",G99="",J99="",K99="",L99="",M99="",O99=""),"缺必填",IF(COUNTIF($A$2:$A$201,A99)&gt;1,"ID重复",IF(COUNTIF('任务登记'!$A$2:$A$201,B99)&lt;&gt;1,"任务ID无效","字段齐备"))))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10" t="str">
        <x:f>IF(COUNTA(A100:O100)=0,"",IF(OR(A100="",B100="",C100="",D100="",E100="",F100="",G100="",J100="",K100="",L100="",M100="",O100=""),"缺必填",IF(COUNTIF($A$2:$A$201,A100)&gt;1,"ID重复",IF(COUNTIF('任务登记'!$A$2:$A$201,B100)&lt;&gt;1,"任务ID无效","字段齐备"))))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10" t="str">
        <x:f>IF(COUNTA(A101:O101)=0,"",IF(OR(A101="",B101="",C101="",D101="",E101="",F101="",G101="",J101="",K101="",L101="",M101="",O101=""),"缺必填",IF(COUNTIF($A$2:$A$201,A101)&gt;1,"ID重复",IF(COUNTIF('任务登记'!$A$2:$A$201,B101)&lt;&gt;1,"任务ID无效","字段齐备"))))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10" t="str">
        <x:f>IF(COUNTA(A102:O102)=0,"",IF(OR(A102="",B102="",C102="",D102="",E102="",F102="",G102="",J102="",K102="",L102="",M102="",O102=""),"缺必填",IF(COUNTIF($A$2:$A$201,A102)&gt;1,"ID重复",IF(COUNTIF('任务登记'!$A$2:$A$201,B102)&lt;&gt;1,"任务ID无效","字段齐备"))))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10" t="str">
        <x:f>IF(COUNTA(A103:O103)=0,"",IF(OR(A103="",B103="",C103="",D103="",E103="",F103="",G103="",J103="",K103="",L103="",M103="",O103=""),"缺必填",IF(COUNTIF($A$2:$A$201,A103)&gt;1,"ID重复",IF(COUNTIF('任务登记'!$A$2:$A$201,B103)&lt;&gt;1,"任务ID无效","字段齐备"))))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10" t="str">
        <x:f>IF(COUNTA(A104:O104)=0,"",IF(OR(A104="",B104="",C104="",D104="",E104="",F104="",G104="",J104="",K104="",L104="",M104="",O104=""),"缺必填",IF(COUNTIF($A$2:$A$201,A104)&gt;1,"ID重复",IF(COUNTIF('任务登记'!$A$2:$A$201,B104)&lt;&gt;1,"任务ID无效","字段齐备"))))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10" t="str">
        <x:f>IF(COUNTA(A105:O105)=0,"",IF(OR(A105="",B105="",C105="",D105="",E105="",F105="",G105="",J105="",K105="",L105="",M105="",O105=""),"缺必填",IF(COUNTIF($A$2:$A$201,A105)&gt;1,"ID重复",IF(COUNTIF('任务登记'!$A$2:$A$201,B105)&lt;&gt;1,"任务ID无效","字段齐备"))))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10" t="str">
        <x:f>IF(COUNTA(A106:O106)=0,"",IF(OR(A106="",B106="",C106="",D106="",E106="",F106="",G106="",J106="",K106="",L106="",M106="",O106=""),"缺必填",IF(COUNTIF($A$2:$A$201,A106)&gt;1,"ID重复",IF(COUNTIF('任务登记'!$A$2:$A$201,B106)&lt;&gt;1,"任务ID无效","字段齐备"))))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10" t="str">
        <x:f>IF(COUNTA(A107:O107)=0,"",IF(OR(A107="",B107="",C107="",D107="",E107="",F107="",G107="",J107="",K107="",L107="",M107="",O107=""),"缺必填",IF(COUNTIF($A$2:$A$201,A107)&gt;1,"ID重复",IF(COUNTIF('任务登记'!$A$2:$A$201,B107)&lt;&gt;1,"任务ID无效","字段齐备"))))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10" t="str">
        <x:f>IF(COUNTA(A108:O108)=0,"",IF(OR(A108="",B108="",C108="",D108="",E108="",F108="",G108="",J108="",K108="",L108="",M108="",O108=""),"缺必填",IF(COUNTIF($A$2:$A$201,A108)&gt;1,"ID重复",IF(COUNTIF('任务登记'!$A$2:$A$201,B108)&lt;&gt;1,"任务ID无效","字段齐备"))))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10" t="str">
        <x:f>IF(COUNTA(A109:O109)=0,"",IF(OR(A109="",B109="",C109="",D109="",E109="",F109="",G109="",J109="",K109="",L109="",M109="",O109=""),"缺必填",IF(COUNTIF($A$2:$A$201,A109)&gt;1,"ID重复",IF(COUNTIF('任务登记'!$A$2:$A$201,B109)&lt;&gt;1,"任务ID无效","字段齐备"))))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10" t="str">
        <x:f>IF(COUNTA(A110:O110)=0,"",IF(OR(A110="",B110="",C110="",D110="",E110="",F110="",G110="",J110="",K110="",L110="",M110="",O110=""),"缺必填",IF(COUNTIF($A$2:$A$201,A110)&gt;1,"ID重复",IF(COUNTIF('任务登记'!$A$2:$A$201,B110)&lt;&gt;1,"任务ID无效","字段齐备"))))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10" t="str">
        <x:f>IF(COUNTA(A111:O111)=0,"",IF(OR(A111="",B111="",C111="",D111="",E111="",F111="",G111="",J111="",K111="",L111="",M111="",O111=""),"缺必填",IF(COUNTIF($A$2:$A$201,A111)&gt;1,"ID重复",IF(COUNTIF('任务登记'!$A$2:$A$201,B111)&lt;&gt;1,"任务ID无效","字段齐备"))))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10" t="str">
        <x:f>IF(COUNTA(A112:O112)=0,"",IF(OR(A112="",B112="",C112="",D112="",E112="",F112="",G112="",J112="",K112="",L112="",M112="",O112=""),"缺必填",IF(COUNTIF($A$2:$A$201,A112)&gt;1,"ID重复",IF(COUNTIF('任务登记'!$A$2:$A$201,B112)&lt;&gt;1,"任务ID无效","字段齐备"))))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10" t="str">
        <x:f>IF(COUNTA(A113:O113)=0,"",IF(OR(A113="",B113="",C113="",D113="",E113="",F113="",G113="",J113="",K113="",L113="",M113="",O113=""),"缺必填",IF(COUNTIF($A$2:$A$201,A113)&gt;1,"ID重复",IF(COUNTIF('任务登记'!$A$2:$A$201,B113)&lt;&gt;1,"任务ID无效","字段齐备"))))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10" t="str">
        <x:f>IF(COUNTA(A114:O114)=0,"",IF(OR(A114="",B114="",C114="",D114="",E114="",F114="",G114="",J114="",K114="",L114="",M114="",O114=""),"缺必填",IF(COUNTIF($A$2:$A$201,A114)&gt;1,"ID重复",IF(COUNTIF('任务登记'!$A$2:$A$201,B114)&lt;&gt;1,"任务ID无效","字段齐备"))))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10" t="str">
        <x:f>IF(COUNTA(A115:O115)=0,"",IF(OR(A115="",B115="",C115="",D115="",E115="",F115="",G115="",J115="",K115="",L115="",M115="",O115=""),"缺必填",IF(COUNTIF($A$2:$A$201,A115)&gt;1,"ID重复",IF(COUNTIF('任务登记'!$A$2:$A$201,B115)&lt;&gt;1,"任务ID无效","字段齐备"))))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10" t="str">
        <x:f>IF(COUNTA(A116:O116)=0,"",IF(OR(A116="",B116="",C116="",D116="",E116="",F116="",G116="",J116="",K116="",L116="",M116="",O116=""),"缺必填",IF(COUNTIF($A$2:$A$201,A116)&gt;1,"ID重复",IF(COUNTIF('任务登记'!$A$2:$A$201,B116)&lt;&gt;1,"任务ID无效","字段齐备"))))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10" t="str">
        <x:f>IF(COUNTA(A117:O117)=0,"",IF(OR(A117="",B117="",C117="",D117="",E117="",F117="",G117="",J117="",K117="",L117="",M117="",O117=""),"缺必填",IF(COUNTIF($A$2:$A$201,A117)&gt;1,"ID重复",IF(COUNTIF('任务登记'!$A$2:$A$201,B117)&lt;&gt;1,"任务ID无效","字段齐备"))))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10" t="str">
        <x:f>IF(COUNTA(A118:O118)=0,"",IF(OR(A118="",B118="",C118="",D118="",E118="",F118="",G118="",J118="",K118="",L118="",M118="",O118=""),"缺必填",IF(COUNTIF($A$2:$A$201,A118)&gt;1,"ID重复",IF(COUNTIF('任务登记'!$A$2:$A$201,B118)&lt;&gt;1,"任务ID无效","字段齐备"))))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10" t="str">
        <x:f>IF(COUNTA(A119:O119)=0,"",IF(OR(A119="",B119="",C119="",D119="",E119="",F119="",G119="",J119="",K119="",L119="",M119="",O119=""),"缺必填",IF(COUNTIF($A$2:$A$201,A119)&gt;1,"ID重复",IF(COUNTIF('任务登记'!$A$2:$A$201,B119)&lt;&gt;1,"任务ID无效","字段齐备"))))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10" t="str">
        <x:f>IF(COUNTA(A120:O120)=0,"",IF(OR(A120="",B120="",C120="",D120="",E120="",F120="",G120="",J120="",K120="",L120="",M120="",O120=""),"缺必填",IF(COUNTIF($A$2:$A$201,A120)&gt;1,"ID重复",IF(COUNTIF('任务登记'!$A$2:$A$201,B120)&lt;&gt;1,"任务ID无效","字段齐备"))))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10" t="str">
        <x:f>IF(COUNTA(A121:O121)=0,"",IF(OR(A121="",B121="",C121="",D121="",E121="",F121="",G121="",J121="",K121="",L121="",M121="",O121=""),"缺必填",IF(COUNTIF($A$2:$A$201,A121)&gt;1,"ID重复",IF(COUNTIF('任务登记'!$A$2:$A$201,B121)&lt;&gt;1,"任务ID无效","字段齐备"))))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10" t="str">
        <x:f>IF(COUNTA(A122:O122)=0,"",IF(OR(A122="",B122="",C122="",D122="",E122="",F122="",G122="",J122="",K122="",L122="",M122="",O122=""),"缺必填",IF(COUNTIF($A$2:$A$201,A122)&gt;1,"ID重复",IF(COUNTIF('任务登记'!$A$2:$A$201,B122)&lt;&gt;1,"任务ID无效","字段齐备"))))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10" t="str">
        <x:f>IF(COUNTA(A123:O123)=0,"",IF(OR(A123="",B123="",C123="",D123="",E123="",F123="",G123="",J123="",K123="",L123="",M123="",O123=""),"缺必填",IF(COUNTIF($A$2:$A$201,A123)&gt;1,"ID重复",IF(COUNTIF('任务登记'!$A$2:$A$201,B123)&lt;&gt;1,"任务ID无效","字段齐备"))))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10" t="str">
        <x:f>IF(COUNTA(A124:O124)=0,"",IF(OR(A124="",B124="",C124="",D124="",E124="",F124="",G124="",J124="",K124="",L124="",M124="",O124=""),"缺必填",IF(COUNTIF($A$2:$A$201,A124)&gt;1,"ID重复",IF(COUNTIF('任务登记'!$A$2:$A$201,B124)&lt;&gt;1,"任务ID无效","字段齐备"))))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10" t="str">
        <x:f>IF(COUNTA(A125:O125)=0,"",IF(OR(A125="",B125="",C125="",D125="",E125="",F125="",G125="",J125="",K125="",L125="",M125="",O125=""),"缺必填",IF(COUNTIF($A$2:$A$201,A125)&gt;1,"ID重复",IF(COUNTIF('任务登记'!$A$2:$A$201,B125)&lt;&gt;1,"任务ID无效","字段齐备"))))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10" t="str">
        <x:f>IF(COUNTA(A126:O126)=0,"",IF(OR(A126="",B126="",C126="",D126="",E126="",F126="",G126="",J126="",K126="",L126="",M126="",O126=""),"缺必填",IF(COUNTIF($A$2:$A$201,A126)&gt;1,"ID重复",IF(COUNTIF('任务登记'!$A$2:$A$201,B126)&lt;&gt;1,"任务ID无效","字段齐备"))))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10" t="str">
        <x:f>IF(COUNTA(A127:O127)=0,"",IF(OR(A127="",B127="",C127="",D127="",E127="",F127="",G127="",J127="",K127="",L127="",M127="",O127=""),"缺必填",IF(COUNTIF($A$2:$A$201,A127)&gt;1,"ID重复",IF(COUNTIF('任务登记'!$A$2:$A$201,B127)&lt;&gt;1,"任务ID无效","字段齐备"))))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10" t="str">
        <x:f>IF(COUNTA(A128:O128)=0,"",IF(OR(A128="",B128="",C128="",D128="",E128="",F128="",G128="",J128="",K128="",L128="",M128="",O128=""),"缺必填",IF(COUNTIF($A$2:$A$201,A128)&gt;1,"ID重复",IF(COUNTIF('任务登记'!$A$2:$A$201,B128)&lt;&gt;1,"任务ID无效","字段齐备"))))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10" t="str">
        <x:f>IF(COUNTA(A129:O129)=0,"",IF(OR(A129="",B129="",C129="",D129="",E129="",F129="",G129="",J129="",K129="",L129="",M129="",O129=""),"缺必填",IF(COUNTIF($A$2:$A$201,A129)&gt;1,"ID重复",IF(COUNTIF('任务登记'!$A$2:$A$201,B129)&lt;&gt;1,"任务ID无效","字段齐备"))))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10" t="str">
        <x:f>IF(COUNTA(A130:O130)=0,"",IF(OR(A130="",B130="",C130="",D130="",E130="",F130="",G130="",J130="",K130="",L130="",M130="",O130=""),"缺必填",IF(COUNTIF($A$2:$A$201,A130)&gt;1,"ID重复",IF(COUNTIF('任务登记'!$A$2:$A$201,B130)&lt;&gt;1,"任务ID无效","字段齐备"))))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10" t="str">
        <x:f>IF(COUNTA(A131:O131)=0,"",IF(OR(A131="",B131="",C131="",D131="",E131="",F131="",G131="",J131="",K131="",L131="",M131="",O131=""),"缺必填",IF(COUNTIF($A$2:$A$201,A131)&gt;1,"ID重复",IF(COUNTIF('任务登记'!$A$2:$A$201,B131)&lt;&gt;1,"任务ID无效","字段齐备"))))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10" t="str">
        <x:f>IF(COUNTA(A132:O132)=0,"",IF(OR(A132="",B132="",C132="",D132="",E132="",F132="",G132="",J132="",K132="",L132="",M132="",O132=""),"缺必填",IF(COUNTIF($A$2:$A$201,A132)&gt;1,"ID重复",IF(COUNTIF('任务登记'!$A$2:$A$201,B132)&lt;&gt;1,"任务ID无效","字段齐备"))))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10" t="str">
        <x:f>IF(COUNTA(A133:O133)=0,"",IF(OR(A133="",B133="",C133="",D133="",E133="",F133="",G133="",J133="",K133="",L133="",M133="",O133=""),"缺必填",IF(COUNTIF($A$2:$A$201,A133)&gt;1,"ID重复",IF(COUNTIF('任务登记'!$A$2:$A$201,B133)&lt;&gt;1,"任务ID无效","字段齐备"))))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10" t="str">
        <x:f>IF(COUNTA(A134:O134)=0,"",IF(OR(A134="",B134="",C134="",D134="",E134="",F134="",G134="",J134="",K134="",L134="",M134="",O134=""),"缺必填",IF(COUNTIF($A$2:$A$201,A134)&gt;1,"ID重复",IF(COUNTIF('任务登记'!$A$2:$A$201,B134)&lt;&gt;1,"任务ID无效","字段齐备"))))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10" t="str">
        <x:f>IF(COUNTA(A135:O135)=0,"",IF(OR(A135="",B135="",C135="",D135="",E135="",F135="",G135="",J135="",K135="",L135="",M135="",O135=""),"缺必填",IF(COUNTIF($A$2:$A$201,A135)&gt;1,"ID重复",IF(COUNTIF('任务登记'!$A$2:$A$201,B135)&lt;&gt;1,"任务ID无效","字段齐备"))))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10" t="str">
        <x:f>IF(COUNTA(A136:O136)=0,"",IF(OR(A136="",B136="",C136="",D136="",E136="",F136="",G136="",J136="",K136="",L136="",M136="",O136=""),"缺必填",IF(COUNTIF($A$2:$A$201,A136)&gt;1,"ID重复",IF(COUNTIF('任务登记'!$A$2:$A$201,B136)&lt;&gt;1,"任务ID无效","字段齐备"))))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10" t="str">
        <x:f>IF(COUNTA(A137:O137)=0,"",IF(OR(A137="",B137="",C137="",D137="",E137="",F137="",G137="",J137="",K137="",L137="",M137="",O137=""),"缺必填",IF(COUNTIF($A$2:$A$201,A137)&gt;1,"ID重复",IF(COUNTIF('任务登记'!$A$2:$A$201,B137)&lt;&gt;1,"任务ID无效","字段齐备"))))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10" t="str">
        <x:f>IF(COUNTA(A138:O138)=0,"",IF(OR(A138="",B138="",C138="",D138="",E138="",F138="",G138="",J138="",K138="",L138="",M138="",O138=""),"缺必填",IF(COUNTIF($A$2:$A$201,A138)&gt;1,"ID重复",IF(COUNTIF('任务登记'!$A$2:$A$201,B138)&lt;&gt;1,"任务ID无效","字段齐备"))))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10" t="str">
        <x:f>IF(COUNTA(A139:O139)=0,"",IF(OR(A139="",B139="",C139="",D139="",E139="",F139="",G139="",J139="",K139="",L139="",M139="",O139=""),"缺必填",IF(COUNTIF($A$2:$A$201,A139)&gt;1,"ID重复",IF(COUNTIF('任务登记'!$A$2:$A$201,B139)&lt;&gt;1,"任务ID无效","字段齐备"))))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10" t="str">
        <x:f>IF(COUNTA(A140:O140)=0,"",IF(OR(A140="",B140="",C140="",D140="",E140="",F140="",G140="",J140="",K140="",L140="",M140="",O140=""),"缺必填",IF(COUNTIF($A$2:$A$201,A140)&gt;1,"ID重复",IF(COUNTIF('任务登记'!$A$2:$A$201,B140)&lt;&gt;1,"任务ID无效","字段齐备"))))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10" t="str">
        <x:f>IF(COUNTA(A141:O141)=0,"",IF(OR(A141="",B141="",C141="",D141="",E141="",F141="",G141="",J141="",K141="",L141="",M141="",O141=""),"缺必填",IF(COUNTIF($A$2:$A$201,A141)&gt;1,"ID重复",IF(COUNTIF('任务登记'!$A$2:$A$201,B141)&lt;&gt;1,"任务ID无效","字段齐备"))))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10" t="str">
        <x:f>IF(COUNTA(A142:O142)=0,"",IF(OR(A142="",B142="",C142="",D142="",E142="",F142="",G142="",J142="",K142="",L142="",M142="",O142=""),"缺必填",IF(COUNTIF($A$2:$A$201,A142)&gt;1,"ID重复",IF(COUNTIF('任务登记'!$A$2:$A$201,B142)&lt;&gt;1,"任务ID无效","字段齐备"))))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10" t="str">
        <x:f>IF(COUNTA(A143:O143)=0,"",IF(OR(A143="",B143="",C143="",D143="",E143="",F143="",G143="",J143="",K143="",L143="",M143="",O143=""),"缺必填",IF(COUNTIF($A$2:$A$201,A143)&gt;1,"ID重复",IF(COUNTIF('任务登记'!$A$2:$A$201,B143)&lt;&gt;1,"任务ID无效","字段齐备"))))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10" t="str">
        <x:f>IF(COUNTA(A144:O144)=0,"",IF(OR(A144="",B144="",C144="",D144="",E144="",F144="",G144="",J144="",K144="",L144="",M144="",O144=""),"缺必填",IF(COUNTIF($A$2:$A$201,A144)&gt;1,"ID重复",IF(COUNTIF('任务登记'!$A$2:$A$201,B144)&lt;&gt;1,"任务ID无效","字段齐备"))))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10" t="str">
        <x:f>IF(COUNTA(A145:O145)=0,"",IF(OR(A145="",B145="",C145="",D145="",E145="",F145="",G145="",J145="",K145="",L145="",M145="",O145=""),"缺必填",IF(COUNTIF($A$2:$A$201,A145)&gt;1,"ID重复",IF(COUNTIF('任务登记'!$A$2:$A$201,B145)&lt;&gt;1,"任务ID无效","字段齐备"))))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10" t="str">
        <x:f>IF(COUNTA(A146:O146)=0,"",IF(OR(A146="",B146="",C146="",D146="",E146="",F146="",G146="",J146="",K146="",L146="",M146="",O146=""),"缺必填",IF(COUNTIF($A$2:$A$201,A146)&gt;1,"ID重复",IF(COUNTIF('任务登记'!$A$2:$A$201,B146)&lt;&gt;1,"任务ID无效","字段齐备"))))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10" t="str">
        <x:f>IF(COUNTA(A147:O147)=0,"",IF(OR(A147="",B147="",C147="",D147="",E147="",F147="",G147="",J147="",K147="",L147="",M147="",O147=""),"缺必填",IF(COUNTIF($A$2:$A$201,A147)&gt;1,"ID重复",IF(COUNTIF('任务登记'!$A$2:$A$201,B147)&lt;&gt;1,"任务ID无效","字段齐备"))))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10" t="str">
        <x:f>IF(COUNTA(A148:O148)=0,"",IF(OR(A148="",B148="",C148="",D148="",E148="",F148="",G148="",J148="",K148="",L148="",M148="",O148=""),"缺必填",IF(COUNTIF($A$2:$A$201,A148)&gt;1,"ID重复",IF(COUNTIF('任务登记'!$A$2:$A$201,B148)&lt;&gt;1,"任务ID无效","字段齐备"))))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10" t="str">
        <x:f>IF(COUNTA(A149:O149)=0,"",IF(OR(A149="",B149="",C149="",D149="",E149="",F149="",G149="",J149="",K149="",L149="",M149="",O149=""),"缺必填",IF(COUNTIF($A$2:$A$201,A149)&gt;1,"ID重复",IF(COUNTIF('任务登记'!$A$2:$A$201,B149)&lt;&gt;1,"任务ID无效","字段齐备"))))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10" t="str">
        <x:f>IF(COUNTA(A150:O150)=0,"",IF(OR(A150="",B150="",C150="",D150="",E150="",F150="",G150="",J150="",K150="",L150="",M150="",O150=""),"缺必填",IF(COUNTIF($A$2:$A$201,A150)&gt;1,"ID重复",IF(COUNTIF('任务登记'!$A$2:$A$201,B150)&lt;&gt;1,"任务ID无效","字段齐备"))))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10" t="str">
        <x:f>IF(COUNTA(A151:O151)=0,"",IF(OR(A151="",B151="",C151="",D151="",E151="",F151="",G151="",J151="",K151="",L151="",M151="",O151=""),"缺必填",IF(COUNTIF($A$2:$A$201,A151)&gt;1,"ID重复",IF(COUNTIF('任务登记'!$A$2:$A$201,B151)&lt;&gt;1,"任务ID无效","字段齐备"))))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10" t="str">
        <x:f>IF(COUNTA(A152:O152)=0,"",IF(OR(A152="",B152="",C152="",D152="",E152="",F152="",G152="",J152="",K152="",L152="",M152="",O152=""),"缺必填",IF(COUNTIF($A$2:$A$201,A152)&gt;1,"ID重复",IF(COUNTIF('任务登记'!$A$2:$A$201,B152)&lt;&gt;1,"任务ID无效","字段齐备"))))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10" t="str">
        <x:f>IF(COUNTA(A153:O153)=0,"",IF(OR(A153="",B153="",C153="",D153="",E153="",F153="",G153="",J153="",K153="",L153="",M153="",O153=""),"缺必填",IF(COUNTIF($A$2:$A$201,A153)&gt;1,"ID重复",IF(COUNTIF('任务登记'!$A$2:$A$201,B153)&lt;&gt;1,"任务ID无效","字段齐备"))))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10" t="str">
        <x:f>IF(COUNTA(A154:O154)=0,"",IF(OR(A154="",B154="",C154="",D154="",E154="",F154="",G154="",J154="",K154="",L154="",M154="",O154=""),"缺必填",IF(COUNTIF($A$2:$A$201,A154)&gt;1,"ID重复",IF(COUNTIF('任务登记'!$A$2:$A$201,B154)&lt;&gt;1,"任务ID无效","字段齐备"))))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10" t="str">
        <x:f>IF(COUNTA(A155:O155)=0,"",IF(OR(A155="",B155="",C155="",D155="",E155="",F155="",G155="",J155="",K155="",L155="",M155="",O155=""),"缺必填",IF(COUNTIF($A$2:$A$201,A155)&gt;1,"ID重复",IF(COUNTIF('任务登记'!$A$2:$A$201,B155)&lt;&gt;1,"任务ID无效","字段齐备"))))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10" t="str">
        <x:f>IF(COUNTA(A156:O156)=0,"",IF(OR(A156="",B156="",C156="",D156="",E156="",F156="",G156="",J156="",K156="",L156="",M156="",O156=""),"缺必填",IF(COUNTIF($A$2:$A$201,A156)&gt;1,"ID重复",IF(COUNTIF('任务登记'!$A$2:$A$201,B156)&lt;&gt;1,"任务ID无效","字段齐备"))))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10" t="str">
        <x:f>IF(COUNTA(A157:O157)=0,"",IF(OR(A157="",B157="",C157="",D157="",E157="",F157="",G157="",J157="",K157="",L157="",M157="",O157=""),"缺必填",IF(COUNTIF($A$2:$A$201,A157)&gt;1,"ID重复",IF(COUNTIF('任务登记'!$A$2:$A$201,B157)&lt;&gt;1,"任务ID无效","字段齐备"))))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10" t="str">
        <x:f>IF(COUNTA(A158:O158)=0,"",IF(OR(A158="",B158="",C158="",D158="",E158="",F158="",G158="",J158="",K158="",L158="",M158="",O158=""),"缺必填",IF(COUNTIF($A$2:$A$201,A158)&gt;1,"ID重复",IF(COUNTIF('任务登记'!$A$2:$A$201,B158)&lt;&gt;1,"任务ID无效","字段齐备"))))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10" t="str">
        <x:f>IF(COUNTA(A159:O159)=0,"",IF(OR(A159="",B159="",C159="",D159="",E159="",F159="",G159="",J159="",K159="",L159="",M159="",O159=""),"缺必填",IF(COUNTIF($A$2:$A$201,A159)&gt;1,"ID重复",IF(COUNTIF('任务登记'!$A$2:$A$201,B159)&lt;&gt;1,"任务ID无效","字段齐备"))))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10" t="str">
        <x:f>IF(COUNTA(A160:O160)=0,"",IF(OR(A160="",B160="",C160="",D160="",E160="",F160="",G160="",J160="",K160="",L160="",M160="",O160=""),"缺必填",IF(COUNTIF($A$2:$A$201,A160)&gt;1,"ID重复",IF(COUNTIF('任务登记'!$A$2:$A$201,B160)&lt;&gt;1,"任务ID无效","字段齐备"))))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10" t="str">
        <x:f>IF(COUNTA(A161:O161)=0,"",IF(OR(A161="",B161="",C161="",D161="",E161="",F161="",G161="",J161="",K161="",L161="",M161="",O161=""),"缺必填",IF(COUNTIF($A$2:$A$201,A161)&gt;1,"ID重复",IF(COUNTIF('任务登记'!$A$2:$A$201,B161)&lt;&gt;1,"任务ID无效","字段齐备"))))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10" t="str">
        <x:f>IF(COUNTA(A162:O162)=0,"",IF(OR(A162="",B162="",C162="",D162="",E162="",F162="",G162="",J162="",K162="",L162="",M162="",O162=""),"缺必填",IF(COUNTIF($A$2:$A$201,A162)&gt;1,"ID重复",IF(COUNTIF('任务登记'!$A$2:$A$201,B162)&lt;&gt;1,"任务ID无效","字段齐备"))))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10" t="str">
        <x:f>IF(COUNTA(A163:O163)=0,"",IF(OR(A163="",B163="",C163="",D163="",E163="",F163="",G163="",J163="",K163="",L163="",M163="",O163=""),"缺必填",IF(COUNTIF($A$2:$A$201,A163)&gt;1,"ID重复",IF(COUNTIF('任务登记'!$A$2:$A$201,B163)&lt;&gt;1,"任务ID无效","字段齐备"))))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10" t="str">
        <x:f>IF(COUNTA(A164:O164)=0,"",IF(OR(A164="",B164="",C164="",D164="",E164="",F164="",G164="",J164="",K164="",L164="",M164="",O164=""),"缺必填",IF(COUNTIF($A$2:$A$201,A164)&gt;1,"ID重复",IF(COUNTIF('任务登记'!$A$2:$A$201,B164)&lt;&gt;1,"任务ID无效","字段齐备"))))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10" t="str">
        <x:f>IF(COUNTA(A165:O165)=0,"",IF(OR(A165="",B165="",C165="",D165="",E165="",F165="",G165="",J165="",K165="",L165="",M165="",O165=""),"缺必填",IF(COUNTIF($A$2:$A$201,A165)&gt;1,"ID重复",IF(COUNTIF('任务登记'!$A$2:$A$201,B165)&lt;&gt;1,"任务ID无效","字段齐备"))))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10" t="str">
        <x:f>IF(COUNTA(A166:O166)=0,"",IF(OR(A166="",B166="",C166="",D166="",E166="",F166="",G166="",J166="",K166="",L166="",M166="",O166=""),"缺必填",IF(COUNTIF($A$2:$A$201,A166)&gt;1,"ID重复",IF(COUNTIF('任务登记'!$A$2:$A$201,B166)&lt;&gt;1,"任务ID无效","字段齐备"))))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10" t="str">
        <x:f>IF(COUNTA(A167:O167)=0,"",IF(OR(A167="",B167="",C167="",D167="",E167="",F167="",G167="",J167="",K167="",L167="",M167="",O167=""),"缺必填",IF(COUNTIF($A$2:$A$201,A167)&gt;1,"ID重复",IF(COUNTIF('任务登记'!$A$2:$A$201,B167)&lt;&gt;1,"任务ID无效","字段齐备"))))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10" t="str">
        <x:f>IF(COUNTA(A168:O168)=0,"",IF(OR(A168="",B168="",C168="",D168="",E168="",F168="",G168="",J168="",K168="",L168="",M168="",O168=""),"缺必填",IF(COUNTIF($A$2:$A$201,A168)&gt;1,"ID重复",IF(COUNTIF('任务登记'!$A$2:$A$201,B168)&lt;&gt;1,"任务ID无效","字段齐备"))))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10" t="str">
        <x:f>IF(COUNTA(A169:O169)=0,"",IF(OR(A169="",B169="",C169="",D169="",E169="",F169="",G169="",J169="",K169="",L169="",M169="",O169=""),"缺必填",IF(COUNTIF($A$2:$A$201,A169)&gt;1,"ID重复",IF(COUNTIF('任务登记'!$A$2:$A$201,B169)&lt;&gt;1,"任务ID无效","字段齐备"))))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10" t="str">
        <x:f>IF(COUNTA(A170:O170)=0,"",IF(OR(A170="",B170="",C170="",D170="",E170="",F170="",G170="",J170="",K170="",L170="",M170="",O170=""),"缺必填",IF(COUNTIF($A$2:$A$201,A170)&gt;1,"ID重复",IF(COUNTIF('任务登记'!$A$2:$A$201,B170)&lt;&gt;1,"任务ID无效","字段齐备"))))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10" t="str">
        <x:f>IF(COUNTA(A171:O171)=0,"",IF(OR(A171="",B171="",C171="",D171="",E171="",F171="",G171="",J171="",K171="",L171="",M171="",O171=""),"缺必填",IF(COUNTIF($A$2:$A$201,A171)&gt;1,"ID重复",IF(COUNTIF('任务登记'!$A$2:$A$201,B171)&lt;&gt;1,"任务ID无效","字段齐备"))))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10" t="str">
        <x:f>IF(COUNTA(A172:O172)=0,"",IF(OR(A172="",B172="",C172="",D172="",E172="",F172="",G172="",J172="",K172="",L172="",M172="",O172=""),"缺必填",IF(COUNTIF($A$2:$A$201,A172)&gt;1,"ID重复",IF(COUNTIF('任务登记'!$A$2:$A$201,B172)&lt;&gt;1,"任务ID无效","字段齐备"))))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10" t="str">
        <x:f>IF(COUNTA(A173:O173)=0,"",IF(OR(A173="",B173="",C173="",D173="",E173="",F173="",G173="",J173="",K173="",L173="",M173="",O173=""),"缺必填",IF(COUNTIF($A$2:$A$201,A173)&gt;1,"ID重复",IF(COUNTIF('任务登记'!$A$2:$A$201,B173)&lt;&gt;1,"任务ID无效","字段齐备"))))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10" t="str">
        <x:f>IF(COUNTA(A174:O174)=0,"",IF(OR(A174="",B174="",C174="",D174="",E174="",F174="",G174="",J174="",K174="",L174="",M174="",O174=""),"缺必填",IF(COUNTIF($A$2:$A$201,A174)&gt;1,"ID重复",IF(COUNTIF('任务登记'!$A$2:$A$201,B174)&lt;&gt;1,"任务ID无效","字段齐备"))))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10" t="str">
        <x:f>IF(COUNTA(A175:O175)=0,"",IF(OR(A175="",B175="",C175="",D175="",E175="",F175="",G175="",J175="",K175="",L175="",M175="",O175=""),"缺必填",IF(COUNTIF($A$2:$A$201,A175)&gt;1,"ID重复",IF(COUNTIF('任务登记'!$A$2:$A$201,B175)&lt;&gt;1,"任务ID无效","字段齐备"))))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10" t="str">
        <x:f>IF(COUNTA(A176:O176)=0,"",IF(OR(A176="",B176="",C176="",D176="",E176="",F176="",G176="",J176="",K176="",L176="",M176="",O176=""),"缺必填",IF(COUNTIF($A$2:$A$201,A176)&gt;1,"ID重复",IF(COUNTIF('任务登记'!$A$2:$A$201,B176)&lt;&gt;1,"任务ID无效","字段齐备"))))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10" t="str">
        <x:f>IF(COUNTA(A177:O177)=0,"",IF(OR(A177="",B177="",C177="",D177="",E177="",F177="",G177="",J177="",K177="",L177="",M177="",O177=""),"缺必填",IF(COUNTIF($A$2:$A$201,A177)&gt;1,"ID重复",IF(COUNTIF('任务登记'!$A$2:$A$201,B177)&lt;&gt;1,"任务ID无效","字段齐备"))))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10" t="str">
        <x:f>IF(COUNTA(A178:O178)=0,"",IF(OR(A178="",B178="",C178="",D178="",E178="",F178="",G178="",J178="",K178="",L178="",M178="",O178=""),"缺必填",IF(COUNTIF($A$2:$A$201,A178)&gt;1,"ID重复",IF(COUNTIF('任务登记'!$A$2:$A$201,B178)&lt;&gt;1,"任务ID无效","字段齐备"))))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10" t="str">
        <x:f>IF(COUNTA(A179:O179)=0,"",IF(OR(A179="",B179="",C179="",D179="",E179="",F179="",G179="",J179="",K179="",L179="",M179="",O179=""),"缺必填",IF(COUNTIF($A$2:$A$201,A179)&gt;1,"ID重复",IF(COUNTIF('任务登记'!$A$2:$A$201,B179)&lt;&gt;1,"任务ID无效","字段齐备"))))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10" t="str">
        <x:f>IF(COUNTA(A180:O180)=0,"",IF(OR(A180="",B180="",C180="",D180="",E180="",F180="",G180="",J180="",K180="",L180="",M180="",O180=""),"缺必填",IF(COUNTIF($A$2:$A$201,A180)&gt;1,"ID重复",IF(COUNTIF('任务登记'!$A$2:$A$201,B180)&lt;&gt;1,"任务ID无效","字段齐备"))))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10" t="str">
        <x:f>IF(COUNTA(A181:O181)=0,"",IF(OR(A181="",B181="",C181="",D181="",E181="",F181="",G181="",J181="",K181="",L181="",M181="",O181=""),"缺必填",IF(COUNTIF($A$2:$A$201,A181)&gt;1,"ID重复",IF(COUNTIF('任务登记'!$A$2:$A$201,B181)&lt;&gt;1,"任务ID无效","字段齐备"))))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10" t="str">
        <x:f>IF(COUNTA(A182:O182)=0,"",IF(OR(A182="",B182="",C182="",D182="",E182="",F182="",G182="",J182="",K182="",L182="",M182="",O182=""),"缺必填",IF(COUNTIF($A$2:$A$201,A182)&gt;1,"ID重复",IF(COUNTIF('任务登记'!$A$2:$A$201,B182)&lt;&gt;1,"任务ID无效","字段齐备"))))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10" t="str">
        <x:f>IF(COUNTA(A183:O183)=0,"",IF(OR(A183="",B183="",C183="",D183="",E183="",F183="",G183="",J183="",K183="",L183="",M183="",O183=""),"缺必填",IF(COUNTIF($A$2:$A$201,A183)&gt;1,"ID重复",IF(COUNTIF('任务登记'!$A$2:$A$201,B183)&lt;&gt;1,"任务ID无效","字段齐备"))))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10" t="str">
        <x:f>IF(COUNTA(A184:O184)=0,"",IF(OR(A184="",B184="",C184="",D184="",E184="",F184="",G184="",J184="",K184="",L184="",M184="",O184=""),"缺必填",IF(COUNTIF($A$2:$A$201,A184)&gt;1,"ID重复",IF(COUNTIF('任务登记'!$A$2:$A$201,B184)&lt;&gt;1,"任务ID无效","字段齐备"))))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10" t="str">
        <x:f>IF(COUNTA(A185:O185)=0,"",IF(OR(A185="",B185="",C185="",D185="",E185="",F185="",G185="",J185="",K185="",L185="",M185="",O185=""),"缺必填",IF(COUNTIF($A$2:$A$201,A185)&gt;1,"ID重复",IF(COUNTIF('任务登记'!$A$2:$A$201,B185)&lt;&gt;1,"任务ID无效","字段齐备"))))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10" t="str">
        <x:f>IF(COUNTA(A186:O186)=0,"",IF(OR(A186="",B186="",C186="",D186="",E186="",F186="",G186="",J186="",K186="",L186="",M186="",O186=""),"缺必填",IF(COUNTIF($A$2:$A$201,A186)&gt;1,"ID重复",IF(COUNTIF('任务登记'!$A$2:$A$201,B186)&lt;&gt;1,"任务ID无效","字段齐备"))))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10" t="str">
        <x:f>IF(COUNTA(A187:O187)=0,"",IF(OR(A187="",B187="",C187="",D187="",E187="",F187="",G187="",J187="",K187="",L187="",M187="",O187=""),"缺必填",IF(COUNTIF($A$2:$A$201,A187)&gt;1,"ID重复",IF(COUNTIF('任务登记'!$A$2:$A$201,B187)&lt;&gt;1,"任务ID无效","字段齐备"))))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10" t="str">
        <x:f>IF(COUNTA(A188:O188)=0,"",IF(OR(A188="",B188="",C188="",D188="",E188="",F188="",G188="",J188="",K188="",L188="",M188="",O188=""),"缺必填",IF(COUNTIF($A$2:$A$201,A188)&gt;1,"ID重复",IF(COUNTIF('任务登记'!$A$2:$A$201,B188)&lt;&gt;1,"任务ID无效","字段齐备"))))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10" t="str">
        <x:f>IF(COUNTA(A189:O189)=0,"",IF(OR(A189="",B189="",C189="",D189="",E189="",F189="",G189="",J189="",K189="",L189="",M189="",O189=""),"缺必填",IF(COUNTIF($A$2:$A$201,A189)&gt;1,"ID重复",IF(COUNTIF('任务登记'!$A$2:$A$201,B189)&lt;&gt;1,"任务ID无效","字段齐备"))))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10" t="str">
        <x:f>IF(COUNTA(A190:O190)=0,"",IF(OR(A190="",B190="",C190="",D190="",E190="",F190="",G190="",J190="",K190="",L190="",M190="",O190=""),"缺必填",IF(COUNTIF($A$2:$A$201,A190)&gt;1,"ID重复",IF(COUNTIF('任务登记'!$A$2:$A$201,B190)&lt;&gt;1,"任务ID无效","字段齐备"))))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10" t="str">
        <x:f>IF(COUNTA(A191:O191)=0,"",IF(OR(A191="",B191="",C191="",D191="",E191="",F191="",G191="",J191="",K191="",L191="",M191="",O191=""),"缺必填",IF(COUNTIF($A$2:$A$201,A191)&gt;1,"ID重复",IF(COUNTIF('任务登记'!$A$2:$A$201,B191)&lt;&gt;1,"任务ID无效","字段齐备"))))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10" t="str">
        <x:f>IF(COUNTA(A192:O192)=0,"",IF(OR(A192="",B192="",C192="",D192="",E192="",F192="",G192="",J192="",K192="",L192="",M192="",O192=""),"缺必填",IF(COUNTIF($A$2:$A$201,A192)&gt;1,"ID重复",IF(COUNTIF('任务登记'!$A$2:$A$201,B192)&lt;&gt;1,"任务ID无效","字段齐备"))))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10" t="str">
        <x:f>IF(COUNTA(A193:O193)=0,"",IF(OR(A193="",B193="",C193="",D193="",E193="",F193="",G193="",J193="",K193="",L193="",M193="",O193=""),"缺必填",IF(COUNTIF($A$2:$A$201,A193)&gt;1,"ID重复",IF(COUNTIF('任务登记'!$A$2:$A$201,B193)&lt;&gt;1,"任务ID无效","字段齐备"))))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10" t="str">
        <x:f>IF(COUNTA(A194:O194)=0,"",IF(OR(A194="",B194="",C194="",D194="",E194="",F194="",G194="",J194="",K194="",L194="",M194="",O194=""),"缺必填",IF(COUNTIF($A$2:$A$201,A194)&gt;1,"ID重复",IF(COUNTIF('任务登记'!$A$2:$A$201,B194)&lt;&gt;1,"任务ID无效","字段齐备"))))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10" t="str">
        <x:f>IF(COUNTA(A195:O195)=0,"",IF(OR(A195="",B195="",C195="",D195="",E195="",F195="",G195="",J195="",K195="",L195="",M195="",O195=""),"缺必填",IF(COUNTIF($A$2:$A$201,A195)&gt;1,"ID重复",IF(COUNTIF('任务登记'!$A$2:$A$201,B195)&lt;&gt;1,"任务ID无效","字段齐备"))))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10" t="str">
        <x:f>IF(COUNTA(A196:O196)=0,"",IF(OR(A196="",B196="",C196="",D196="",E196="",F196="",G196="",J196="",K196="",L196="",M196="",O196=""),"缺必填",IF(COUNTIF($A$2:$A$201,A196)&gt;1,"ID重复",IF(COUNTIF('任务登记'!$A$2:$A$201,B196)&lt;&gt;1,"任务ID无效","字段齐备"))))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10" t="str">
        <x:f>IF(COUNTA(A197:O197)=0,"",IF(OR(A197="",B197="",C197="",D197="",E197="",F197="",G197="",J197="",K197="",L197="",M197="",O197=""),"缺必填",IF(COUNTIF($A$2:$A$201,A197)&gt;1,"ID重复",IF(COUNTIF('任务登记'!$A$2:$A$201,B197)&lt;&gt;1,"任务ID无效","字段齐备"))))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10" t="str">
        <x:f>IF(COUNTA(A198:O198)=0,"",IF(OR(A198="",B198="",C198="",D198="",E198="",F198="",G198="",J198="",K198="",L198="",M198="",O198=""),"缺必填",IF(COUNTIF($A$2:$A$201,A198)&gt;1,"ID重复",IF(COUNTIF('任务登记'!$A$2:$A$201,B198)&lt;&gt;1,"任务ID无效","字段齐备"))))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10" t="str">
        <x:f>IF(COUNTA(A199:O199)=0,"",IF(OR(A199="",B199="",C199="",D199="",E199="",F199="",G199="",J199="",K199="",L199="",M199="",O199=""),"缺必填",IF(COUNTIF($A$2:$A$201,A199)&gt;1,"ID重复",IF(COUNTIF('任务登记'!$A$2:$A$201,B199)&lt;&gt;1,"任务ID无效","字段齐备"))))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10" t="str">
        <x:f>IF(COUNTA(A200:O200)=0,"",IF(OR(A200="",B200="",C200="",D200="",E200="",F200="",G200="",J200="",K200="",L200="",M200="",O200=""),"缺必填",IF(COUNTIF($A$2:$A$201,A200)&gt;1,"ID重复",IF(COUNTIF('任务登记'!$A$2:$A$201,B200)&lt;&gt;1,"任务ID无效","字段齐备"))))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10" t="str">
        <x:f>IF(COUNTA(A201:O201)=0,"",IF(OR(A201="",B201="",C201="",D201="",E201="",F201="",G201="",J201="",K201="",L201="",M201="",O201=""),"缺必填",IF(COUNTIF($A$2:$A$201,A201)&gt;1,"ID重复",IF(COUNTIF('任务登记'!$A$2:$A$201,B201)&lt;&gt;1,"任务ID无效","字段齐备"))))</x:f>
      </x:c>
    </x:row>
  </x:sheetData>
  <x:conditionalFormatting sqref="A2:P201">
    <x:cfRule type="expression" dxfId="11" priority="1">
      <x:formula>AND($P2&lt;&gt;"",$P2&lt;&gt;"字段齐备")</x:formula>
    </x:cfRule>
  </x:conditionalFormatting>
  <x:dataValidations count="3">
    <x:dataValidation type="list" sqref="C2:C201">
      <x:formula1>"合规事实,单位归责,共同犯罪地位,罪数竞合,中国刑法管辖,国内办案管辖,外国法适用,量刑事实,程序与文书,规则核验"</x:formula1>
    </x:dataValidation>
    <x:dataValidation type="list" sqref="E2:E201">
      <x:formula1>"材料,片段,实体,事件,要件,论证,金额,更新,扩展"</x:formula1>
    </x:dataValidation>
    <x:dataValidation type="list" sqref="J2:J201">
      <x:formula1>"材料支持,材料反对,存在冲突,信息不足,不适用"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8b011fd967455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0" hidden="0" customWidth="1"/>
  </x:cols>
  <x:sheetData>
    <x:row r="1" ht="52" customHeight="1">
      <x:c r="A1" s="6" t="str">
        <x:v>裁决ID</x:v>
      </x:c>
      <x:c r="B1" s="6" t="str">
        <x:v>案件ID</x:v>
      </x:c>
      <x:c r="C1" s="6" t="str">
        <x:v>对齐对象ID</x:v>
      </x:c>
      <x:c r="D1" s="6" t="str">
        <x:v>A任务ID</x:v>
      </x:c>
      <x:c r="E1" s="6" t="str">
        <x:v>B任务ID</x:v>
      </x:c>
      <x:c r="F1" s="6" t="str">
        <x:v>A原记录ID</x:v>
      </x:c>
      <x:c r="G1" s="6" t="str">
        <x:v>B原记录ID</x:v>
      </x:c>
      <x:c r="H1" s="6" t="str">
        <x:v>分歧类型</x:v>
      </x:c>
      <x:c r="I1" s="6" t="str">
        <x:v>裁决结果</x:v>
      </x:c>
      <x:c r="J1" s="6" t="str">
        <x:v>完整参考包ID</x:v>
      </x:c>
      <x:c r="K1" s="6" t="str">
        <x:v>包内记录ID清单</x:v>
      </x:c>
      <x:c r="L1" s="6" t="str">
        <x:v>裁决理由</x:v>
      </x:c>
      <x:c r="M1" s="6" t="str">
        <x:v>裁决者代号</x:v>
      </x:c>
      <x:c r="N1" s="6" t="str">
        <x:v>裁决时间</x:v>
      </x:c>
      <x:c r="O1" s="6" t="str">
        <x:v>参考版本</x:v>
      </x:c>
      <x:c r="P1" s="6" t="str">
        <x:v>未决问题</x:v>
      </x:c>
      <x:c r="Q1" s="6" t="str">
        <x:v>记录检查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10" t="str">
        <x:f>IF(COUNTA(A2:P2)=0,"",IF(OR(A2="",B2="",C2="",D2="",E2="",F2="",G2="",H2="",I2="",J2="",K2="",L2="",M2="",N2="",O2=""),"缺必填",IF(COUNTIF($A$2:$A$201,A2)&gt;1,"ID重复",IF(COUNTIF('案件'!$A$2:$A$201,B2)&lt;&gt;1,"案件ID无效",IF(D2=E2,"A与B任务相同",IF(OR(COUNTIF('任务登记'!$A$2:$A$201,D2)&lt;&gt;1,COUNTIF('任务登记'!$A$2:$A$201,E2)&lt;&gt;1),"裁决任务ID无效",IF(OR(INDEX('任务登记'!$B$2:$B$201,MATCH(D2,'任务登记'!$A$2:$A$201,0))&lt;&gt;B2,INDEX('任务登记'!$B$2:$B$201,MATCH(E2,'任务登记'!$A$2:$A$201,0))&lt;&gt;B2),"裁决任务跨案",IF(OR(INDEX('任务登记'!$F$2:$F$201,MATCH(D2,'任务登记'!$A$2:$A$201,0))&lt;&gt;"A",INDEX('任务登记'!$F$2:$F$201,MATCH(E2,'任务登记'!$A$2:$A$201,0))&lt;&gt;"B"),"裁决角色不符",IF(INDEX('任务登记'!$E$2:$E$201,MATCH(D2,'任务登记'!$A$2:$A$201,0))=INDEX('任务登记'!$E$2:$E$201,MATCH(E2,'任务登记'!$A$2:$A$201,0)),"A与B为同一人",IF(OR(M2=INDEX('任务登记'!$E$2:$E$201,MATCH(D2,'任务登记'!$A$2:$A$201,0)),M2=INDEX('任务登记'!$E$2:$E$201,MATCH(E2,'任务登记'!$A$2:$A$201,0))),"裁决者参与原标注","字段齐备"))))))))))</x:f>
      </x:c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10" t="str">
        <x:f>IF(COUNTA(A3:P3)=0,"",IF(OR(A3="",B3="",C3="",D3="",E3="",F3="",G3="",H3="",I3="",J3="",K3="",L3="",M3="",N3="",O3=""),"缺必填",IF(COUNTIF($A$2:$A$201,A3)&gt;1,"ID重复",IF(COUNTIF('案件'!$A$2:$A$201,B3)&lt;&gt;1,"案件ID无效",IF(D3=E3,"A与B任务相同",IF(OR(COUNTIF('任务登记'!$A$2:$A$201,D3)&lt;&gt;1,COUNTIF('任务登记'!$A$2:$A$201,E3)&lt;&gt;1),"裁决任务ID无效",IF(OR(INDEX('任务登记'!$B$2:$B$201,MATCH(D3,'任务登记'!$A$2:$A$201,0))&lt;&gt;B3,INDEX('任务登记'!$B$2:$B$201,MATCH(E3,'任务登记'!$A$2:$A$201,0))&lt;&gt;B3),"裁决任务跨案",IF(OR(INDEX('任务登记'!$F$2:$F$201,MATCH(D3,'任务登记'!$A$2:$A$201,0))&lt;&gt;"A",INDEX('任务登记'!$F$2:$F$201,MATCH(E3,'任务登记'!$A$2:$A$201,0))&lt;&gt;"B"),"裁决角色不符",IF(INDEX('任务登记'!$E$2:$E$201,MATCH(D3,'任务登记'!$A$2:$A$201,0))=INDEX('任务登记'!$E$2:$E$201,MATCH(E3,'任务登记'!$A$2:$A$201,0)),"A与B为同一人",IF(OR(M3=INDEX('任务登记'!$E$2:$E$201,MATCH(D3,'任务登记'!$A$2:$A$201,0)),M3=INDEX('任务登记'!$E$2:$E$201,MATCH(E3,'任务登记'!$A$2:$A$201,0))),"裁决者参与原标注","字段齐备"))))))))))</x:f>
      </x:c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10" t="str">
        <x:f>IF(COUNTA(A4:P4)=0,"",IF(OR(A4="",B4="",C4="",D4="",E4="",F4="",G4="",H4="",I4="",J4="",K4="",L4="",M4="",N4="",O4=""),"缺必填",IF(COUNTIF($A$2:$A$201,A4)&gt;1,"ID重复",IF(COUNTIF('案件'!$A$2:$A$201,B4)&lt;&gt;1,"案件ID无效",IF(D4=E4,"A与B任务相同",IF(OR(COUNTIF('任务登记'!$A$2:$A$201,D4)&lt;&gt;1,COUNTIF('任务登记'!$A$2:$A$201,E4)&lt;&gt;1),"裁决任务ID无效",IF(OR(INDEX('任务登记'!$B$2:$B$201,MATCH(D4,'任务登记'!$A$2:$A$201,0))&lt;&gt;B4,INDEX('任务登记'!$B$2:$B$201,MATCH(E4,'任务登记'!$A$2:$A$201,0))&lt;&gt;B4),"裁决任务跨案",IF(OR(INDEX('任务登记'!$F$2:$F$201,MATCH(D4,'任务登记'!$A$2:$A$201,0))&lt;&gt;"A",INDEX('任务登记'!$F$2:$F$201,MATCH(E4,'任务登记'!$A$2:$A$201,0))&lt;&gt;"B"),"裁决角色不符",IF(INDEX('任务登记'!$E$2:$E$201,MATCH(D4,'任务登记'!$A$2:$A$201,0))=INDEX('任务登记'!$E$2:$E$201,MATCH(E4,'任务登记'!$A$2:$A$201,0)),"A与B为同一人",IF(OR(M4=INDEX('任务登记'!$E$2:$E$201,MATCH(D4,'任务登记'!$A$2:$A$201,0)),M4=INDEX('任务登记'!$E$2:$E$201,MATCH(E4,'任务登记'!$A$2:$A$201,0))),"裁决者参与原标注","字段齐备"))))))))))</x:f>
      </x:c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10" t="str">
        <x:f>IF(COUNTA(A5:P5)=0,"",IF(OR(A5="",B5="",C5="",D5="",E5="",F5="",G5="",H5="",I5="",J5="",K5="",L5="",M5="",N5="",O5=""),"缺必填",IF(COUNTIF($A$2:$A$201,A5)&gt;1,"ID重复",IF(COUNTIF('案件'!$A$2:$A$201,B5)&lt;&gt;1,"案件ID无效",IF(D5=E5,"A与B任务相同",IF(OR(COUNTIF('任务登记'!$A$2:$A$201,D5)&lt;&gt;1,COUNTIF('任务登记'!$A$2:$A$201,E5)&lt;&gt;1),"裁决任务ID无效",IF(OR(INDEX('任务登记'!$B$2:$B$201,MATCH(D5,'任务登记'!$A$2:$A$201,0))&lt;&gt;B5,INDEX('任务登记'!$B$2:$B$201,MATCH(E5,'任务登记'!$A$2:$A$201,0))&lt;&gt;B5),"裁决任务跨案",IF(OR(INDEX('任务登记'!$F$2:$F$201,MATCH(D5,'任务登记'!$A$2:$A$201,0))&lt;&gt;"A",INDEX('任务登记'!$F$2:$F$201,MATCH(E5,'任务登记'!$A$2:$A$201,0))&lt;&gt;"B"),"裁决角色不符",IF(INDEX('任务登记'!$E$2:$E$201,MATCH(D5,'任务登记'!$A$2:$A$201,0))=INDEX('任务登记'!$E$2:$E$201,MATCH(E5,'任务登记'!$A$2:$A$201,0)),"A与B为同一人",IF(OR(M5=INDEX('任务登记'!$E$2:$E$201,MATCH(D5,'任务登记'!$A$2:$A$201,0)),M5=INDEX('任务登记'!$E$2:$E$201,MATCH(E5,'任务登记'!$A$2:$A$201,0))),"裁决者参与原标注","字段齐备"))))))))))</x:f>
      </x:c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10" t="str">
        <x:f>IF(COUNTA(A6:P6)=0,"",IF(OR(A6="",B6="",C6="",D6="",E6="",F6="",G6="",H6="",I6="",J6="",K6="",L6="",M6="",N6="",O6=""),"缺必填",IF(COUNTIF($A$2:$A$201,A6)&gt;1,"ID重复",IF(COUNTIF('案件'!$A$2:$A$201,B6)&lt;&gt;1,"案件ID无效",IF(D6=E6,"A与B任务相同",IF(OR(COUNTIF('任务登记'!$A$2:$A$201,D6)&lt;&gt;1,COUNTIF('任务登记'!$A$2:$A$201,E6)&lt;&gt;1),"裁决任务ID无效",IF(OR(INDEX('任务登记'!$B$2:$B$201,MATCH(D6,'任务登记'!$A$2:$A$201,0))&lt;&gt;B6,INDEX('任务登记'!$B$2:$B$201,MATCH(E6,'任务登记'!$A$2:$A$201,0))&lt;&gt;B6),"裁决任务跨案",IF(OR(INDEX('任务登记'!$F$2:$F$201,MATCH(D6,'任务登记'!$A$2:$A$201,0))&lt;&gt;"A",INDEX('任务登记'!$F$2:$F$201,MATCH(E6,'任务登记'!$A$2:$A$201,0))&lt;&gt;"B"),"裁决角色不符",IF(INDEX('任务登记'!$E$2:$E$201,MATCH(D6,'任务登记'!$A$2:$A$201,0))=INDEX('任务登记'!$E$2:$E$201,MATCH(E6,'任务登记'!$A$2:$A$201,0)),"A与B为同一人",IF(OR(M6=INDEX('任务登记'!$E$2:$E$201,MATCH(D6,'任务登记'!$A$2:$A$201,0)),M6=INDEX('任务登记'!$E$2:$E$201,MATCH(E6,'任务登记'!$A$2:$A$201,0))),"裁决者参与原标注","字段齐备"))))))))))</x:f>
      </x:c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10" t="str">
        <x:f>IF(COUNTA(A7:P7)=0,"",IF(OR(A7="",B7="",C7="",D7="",E7="",F7="",G7="",H7="",I7="",J7="",K7="",L7="",M7="",N7="",O7=""),"缺必填",IF(COUNTIF($A$2:$A$201,A7)&gt;1,"ID重复",IF(COUNTIF('案件'!$A$2:$A$201,B7)&lt;&gt;1,"案件ID无效",IF(D7=E7,"A与B任务相同",IF(OR(COUNTIF('任务登记'!$A$2:$A$201,D7)&lt;&gt;1,COUNTIF('任务登记'!$A$2:$A$201,E7)&lt;&gt;1),"裁决任务ID无效",IF(OR(INDEX('任务登记'!$B$2:$B$201,MATCH(D7,'任务登记'!$A$2:$A$201,0))&lt;&gt;B7,INDEX('任务登记'!$B$2:$B$201,MATCH(E7,'任务登记'!$A$2:$A$201,0))&lt;&gt;B7),"裁决任务跨案",IF(OR(INDEX('任务登记'!$F$2:$F$201,MATCH(D7,'任务登记'!$A$2:$A$201,0))&lt;&gt;"A",INDEX('任务登记'!$F$2:$F$201,MATCH(E7,'任务登记'!$A$2:$A$201,0))&lt;&gt;"B"),"裁决角色不符",IF(INDEX('任务登记'!$E$2:$E$201,MATCH(D7,'任务登记'!$A$2:$A$201,0))=INDEX('任务登记'!$E$2:$E$201,MATCH(E7,'任务登记'!$A$2:$A$201,0)),"A与B为同一人",IF(OR(M7=INDEX('任务登记'!$E$2:$E$201,MATCH(D7,'任务登记'!$A$2:$A$201,0)),M7=INDEX('任务登记'!$E$2:$E$201,MATCH(E7,'任务登记'!$A$2:$A$201,0))),"裁决者参与原标注","字段齐备"))))))))))</x:f>
      </x:c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10" t="str">
        <x:f>IF(COUNTA(A8:P8)=0,"",IF(OR(A8="",B8="",C8="",D8="",E8="",F8="",G8="",H8="",I8="",J8="",K8="",L8="",M8="",N8="",O8=""),"缺必填",IF(COUNTIF($A$2:$A$201,A8)&gt;1,"ID重复",IF(COUNTIF('案件'!$A$2:$A$201,B8)&lt;&gt;1,"案件ID无效",IF(D8=E8,"A与B任务相同",IF(OR(COUNTIF('任务登记'!$A$2:$A$201,D8)&lt;&gt;1,COUNTIF('任务登记'!$A$2:$A$201,E8)&lt;&gt;1),"裁决任务ID无效",IF(OR(INDEX('任务登记'!$B$2:$B$201,MATCH(D8,'任务登记'!$A$2:$A$201,0))&lt;&gt;B8,INDEX('任务登记'!$B$2:$B$201,MATCH(E8,'任务登记'!$A$2:$A$201,0))&lt;&gt;B8),"裁决任务跨案",IF(OR(INDEX('任务登记'!$F$2:$F$201,MATCH(D8,'任务登记'!$A$2:$A$201,0))&lt;&gt;"A",INDEX('任务登记'!$F$2:$F$201,MATCH(E8,'任务登记'!$A$2:$A$201,0))&lt;&gt;"B"),"裁决角色不符",IF(INDEX('任务登记'!$E$2:$E$201,MATCH(D8,'任务登记'!$A$2:$A$201,0))=INDEX('任务登记'!$E$2:$E$201,MATCH(E8,'任务登记'!$A$2:$A$201,0)),"A与B为同一人",IF(OR(M8=INDEX('任务登记'!$E$2:$E$201,MATCH(D8,'任务登记'!$A$2:$A$201,0)),M8=INDEX('任务登记'!$E$2:$E$201,MATCH(E8,'任务登记'!$A$2:$A$201,0))),"裁决者参与原标注","字段齐备"))))))))))</x:f>
      </x:c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10" t="str">
        <x:f>IF(COUNTA(A9:P9)=0,"",IF(OR(A9="",B9="",C9="",D9="",E9="",F9="",G9="",H9="",I9="",J9="",K9="",L9="",M9="",N9="",O9=""),"缺必填",IF(COUNTIF($A$2:$A$201,A9)&gt;1,"ID重复",IF(COUNTIF('案件'!$A$2:$A$201,B9)&lt;&gt;1,"案件ID无效",IF(D9=E9,"A与B任务相同",IF(OR(COUNTIF('任务登记'!$A$2:$A$201,D9)&lt;&gt;1,COUNTIF('任务登记'!$A$2:$A$201,E9)&lt;&gt;1),"裁决任务ID无效",IF(OR(INDEX('任务登记'!$B$2:$B$201,MATCH(D9,'任务登记'!$A$2:$A$201,0))&lt;&gt;B9,INDEX('任务登记'!$B$2:$B$201,MATCH(E9,'任务登记'!$A$2:$A$201,0))&lt;&gt;B9),"裁决任务跨案",IF(OR(INDEX('任务登记'!$F$2:$F$201,MATCH(D9,'任务登记'!$A$2:$A$201,0))&lt;&gt;"A",INDEX('任务登记'!$F$2:$F$201,MATCH(E9,'任务登记'!$A$2:$A$201,0))&lt;&gt;"B"),"裁决角色不符",IF(INDEX('任务登记'!$E$2:$E$201,MATCH(D9,'任务登记'!$A$2:$A$201,0))=INDEX('任务登记'!$E$2:$E$201,MATCH(E9,'任务登记'!$A$2:$A$201,0)),"A与B为同一人",IF(OR(M9=INDEX('任务登记'!$E$2:$E$201,MATCH(D9,'任务登记'!$A$2:$A$201,0)),M9=INDEX('任务登记'!$E$2:$E$201,MATCH(E9,'任务登记'!$A$2:$A$201,0))),"裁决者参与原标注","字段齐备"))))))))))</x:f>
      </x:c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10" t="str">
        <x:f>IF(COUNTA(A10:P10)=0,"",IF(OR(A10="",B10="",C10="",D10="",E10="",F10="",G10="",H10="",I10="",J10="",K10="",L10="",M10="",N10="",O10=""),"缺必填",IF(COUNTIF($A$2:$A$201,A10)&gt;1,"ID重复",IF(COUNTIF('案件'!$A$2:$A$201,B10)&lt;&gt;1,"案件ID无效",IF(D10=E10,"A与B任务相同",IF(OR(COUNTIF('任务登记'!$A$2:$A$201,D10)&lt;&gt;1,COUNTIF('任务登记'!$A$2:$A$201,E10)&lt;&gt;1),"裁决任务ID无效",IF(OR(INDEX('任务登记'!$B$2:$B$201,MATCH(D10,'任务登记'!$A$2:$A$201,0))&lt;&gt;B10,INDEX('任务登记'!$B$2:$B$201,MATCH(E10,'任务登记'!$A$2:$A$201,0))&lt;&gt;B10),"裁决任务跨案",IF(OR(INDEX('任务登记'!$F$2:$F$201,MATCH(D10,'任务登记'!$A$2:$A$201,0))&lt;&gt;"A",INDEX('任务登记'!$F$2:$F$201,MATCH(E10,'任务登记'!$A$2:$A$201,0))&lt;&gt;"B"),"裁决角色不符",IF(INDEX('任务登记'!$E$2:$E$201,MATCH(D10,'任务登记'!$A$2:$A$201,0))=INDEX('任务登记'!$E$2:$E$201,MATCH(E10,'任务登记'!$A$2:$A$201,0)),"A与B为同一人",IF(OR(M10=INDEX('任务登记'!$E$2:$E$201,MATCH(D10,'任务登记'!$A$2:$A$201,0)),M10=INDEX('任务登记'!$E$2:$E$201,MATCH(E10,'任务登记'!$A$2:$A$201,0))),"裁决者参与原标注","字段齐备"))))))))))</x:f>
      </x:c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10" t="str">
        <x:f>IF(COUNTA(A11:P11)=0,"",IF(OR(A11="",B11="",C11="",D11="",E11="",F11="",G11="",H11="",I11="",J11="",K11="",L11="",M11="",N11="",O11=""),"缺必填",IF(COUNTIF($A$2:$A$201,A11)&gt;1,"ID重复",IF(COUNTIF('案件'!$A$2:$A$201,B11)&lt;&gt;1,"案件ID无效",IF(D11=E11,"A与B任务相同",IF(OR(COUNTIF('任务登记'!$A$2:$A$201,D11)&lt;&gt;1,COUNTIF('任务登记'!$A$2:$A$201,E11)&lt;&gt;1),"裁决任务ID无效",IF(OR(INDEX('任务登记'!$B$2:$B$201,MATCH(D11,'任务登记'!$A$2:$A$201,0))&lt;&gt;B11,INDEX('任务登记'!$B$2:$B$201,MATCH(E11,'任务登记'!$A$2:$A$201,0))&lt;&gt;B11),"裁决任务跨案",IF(OR(INDEX('任务登记'!$F$2:$F$201,MATCH(D11,'任务登记'!$A$2:$A$201,0))&lt;&gt;"A",INDEX('任务登记'!$F$2:$F$201,MATCH(E11,'任务登记'!$A$2:$A$201,0))&lt;&gt;"B"),"裁决角色不符",IF(INDEX('任务登记'!$E$2:$E$201,MATCH(D11,'任务登记'!$A$2:$A$201,0))=INDEX('任务登记'!$E$2:$E$201,MATCH(E11,'任务登记'!$A$2:$A$201,0)),"A与B为同一人",IF(OR(M11=INDEX('任务登记'!$E$2:$E$201,MATCH(D11,'任务登记'!$A$2:$A$201,0)),M11=INDEX('任务登记'!$E$2:$E$201,MATCH(E11,'任务登记'!$A$2:$A$201,0))),"裁决者参与原标注","字段齐备"))))))))))</x:f>
      </x:c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10" t="str">
        <x:f>IF(COUNTA(A12:P12)=0,"",IF(OR(A12="",B12="",C12="",D12="",E12="",F12="",G12="",H12="",I12="",J12="",K12="",L12="",M12="",N12="",O12=""),"缺必填",IF(COUNTIF($A$2:$A$201,A12)&gt;1,"ID重复",IF(COUNTIF('案件'!$A$2:$A$201,B12)&lt;&gt;1,"案件ID无效",IF(D12=E12,"A与B任务相同",IF(OR(COUNTIF('任务登记'!$A$2:$A$201,D12)&lt;&gt;1,COUNTIF('任务登记'!$A$2:$A$201,E12)&lt;&gt;1),"裁决任务ID无效",IF(OR(INDEX('任务登记'!$B$2:$B$201,MATCH(D12,'任务登记'!$A$2:$A$201,0))&lt;&gt;B12,INDEX('任务登记'!$B$2:$B$201,MATCH(E12,'任务登记'!$A$2:$A$201,0))&lt;&gt;B12),"裁决任务跨案",IF(OR(INDEX('任务登记'!$F$2:$F$201,MATCH(D12,'任务登记'!$A$2:$A$201,0))&lt;&gt;"A",INDEX('任务登记'!$F$2:$F$201,MATCH(E12,'任务登记'!$A$2:$A$201,0))&lt;&gt;"B"),"裁决角色不符",IF(INDEX('任务登记'!$E$2:$E$201,MATCH(D12,'任务登记'!$A$2:$A$201,0))=INDEX('任务登记'!$E$2:$E$201,MATCH(E12,'任务登记'!$A$2:$A$201,0)),"A与B为同一人",IF(OR(M12=INDEX('任务登记'!$E$2:$E$201,MATCH(D12,'任务登记'!$A$2:$A$201,0)),M12=INDEX('任务登记'!$E$2:$E$201,MATCH(E12,'任务登记'!$A$2:$A$201,0))),"裁决者参与原标注","字段齐备"))))))))))</x:f>
      </x:c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10" t="str">
        <x:f>IF(COUNTA(A13:P13)=0,"",IF(OR(A13="",B13="",C13="",D13="",E13="",F13="",G13="",H13="",I13="",J13="",K13="",L13="",M13="",N13="",O13=""),"缺必填",IF(COUNTIF($A$2:$A$201,A13)&gt;1,"ID重复",IF(COUNTIF('案件'!$A$2:$A$201,B13)&lt;&gt;1,"案件ID无效",IF(D13=E13,"A与B任务相同",IF(OR(COUNTIF('任务登记'!$A$2:$A$201,D13)&lt;&gt;1,COUNTIF('任务登记'!$A$2:$A$201,E13)&lt;&gt;1),"裁决任务ID无效",IF(OR(INDEX('任务登记'!$B$2:$B$201,MATCH(D13,'任务登记'!$A$2:$A$201,0))&lt;&gt;B13,INDEX('任务登记'!$B$2:$B$201,MATCH(E13,'任务登记'!$A$2:$A$201,0))&lt;&gt;B13),"裁决任务跨案",IF(OR(INDEX('任务登记'!$F$2:$F$201,MATCH(D13,'任务登记'!$A$2:$A$201,0))&lt;&gt;"A",INDEX('任务登记'!$F$2:$F$201,MATCH(E13,'任务登记'!$A$2:$A$201,0))&lt;&gt;"B"),"裁决角色不符",IF(INDEX('任务登记'!$E$2:$E$201,MATCH(D13,'任务登记'!$A$2:$A$201,0))=INDEX('任务登记'!$E$2:$E$201,MATCH(E13,'任务登记'!$A$2:$A$201,0)),"A与B为同一人",IF(OR(M13=INDEX('任务登记'!$E$2:$E$201,MATCH(D13,'任务登记'!$A$2:$A$201,0)),M13=INDEX('任务登记'!$E$2:$E$201,MATCH(E13,'任务登记'!$A$2:$A$201,0))),"裁决者参与原标注","字段齐备"))))))))))</x:f>
      </x:c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10" t="str">
        <x:f>IF(COUNTA(A14:P14)=0,"",IF(OR(A14="",B14="",C14="",D14="",E14="",F14="",G14="",H14="",I14="",J14="",K14="",L14="",M14="",N14="",O14=""),"缺必填",IF(COUNTIF($A$2:$A$201,A14)&gt;1,"ID重复",IF(COUNTIF('案件'!$A$2:$A$201,B14)&lt;&gt;1,"案件ID无效",IF(D14=E14,"A与B任务相同",IF(OR(COUNTIF('任务登记'!$A$2:$A$201,D14)&lt;&gt;1,COUNTIF('任务登记'!$A$2:$A$201,E14)&lt;&gt;1),"裁决任务ID无效",IF(OR(INDEX('任务登记'!$B$2:$B$201,MATCH(D14,'任务登记'!$A$2:$A$201,0))&lt;&gt;B14,INDEX('任务登记'!$B$2:$B$201,MATCH(E14,'任务登记'!$A$2:$A$201,0))&lt;&gt;B14),"裁决任务跨案",IF(OR(INDEX('任务登记'!$F$2:$F$201,MATCH(D14,'任务登记'!$A$2:$A$201,0))&lt;&gt;"A",INDEX('任务登记'!$F$2:$F$201,MATCH(E14,'任务登记'!$A$2:$A$201,0))&lt;&gt;"B"),"裁决角色不符",IF(INDEX('任务登记'!$E$2:$E$201,MATCH(D14,'任务登记'!$A$2:$A$201,0))=INDEX('任务登记'!$E$2:$E$201,MATCH(E14,'任务登记'!$A$2:$A$201,0)),"A与B为同一人",IF(OR(M14=INDEX('任务登记'!$E$2:$E$201,MATCH(D14,'任务登记'!$A$2:$A$201,0)),M14=INDEX('任务登记'!$E$2:$E$201,MATCH(E14,'任务登记'!$A$2:$A$201,0))),"裁决者参与原标注","字段齐备"))))))))))</x:f>
      </x:c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10" t="str">
        <x:f>IF(COUNTA(A15:P15)=0,"",IF(OR(A15="",B15="",C15="",D15="",E15="",F15="",G15="",H15="",I15="",J15="",K15="",L15="",M15="",N15="",O15=""),"缺必填",IF(COUNTIF($A$2:$A$201,A15)&gt;1,"ID重复",IF(COUNTIF('案件'!$A$2:$A$201,B15)&lt;&gt;1,"案件ID无效",IF(D15=E15,"A与B任务相同",IF(OR(COUNTIF('任务登记'!$A$2:$A$201,D15)&lt;&gt;1,COUNTIF('任务登记'!$A$2:$A$201,E15)&lt;&gt;1),"裁决任务ID无效",IF(OR(INDEX('任务登记'!$B$2:$B$201,MATCH(D15,'任务登记'!$A$2:$A$201,0))&lt;&gt;B15,INDEX('任务登记'!$B$2:$B$201,MATCH(E15,'任务登记'!$A$2:$A$201,0))&lt;&gt;B15),"裁决任务跨案",IF(OR(INDEX('任务登记'!$F$2:$F$201,MATCH(D15,'任务登记'!$A$2:$A$201,0))&lt;&gt;"A",INDEX('任务登记'!$F$2:$F$201,MATCH(E15,'任务登记'!$A$2:$A$201,0))&lt;&gt;"B"),"裁决角色不符",IF(INDEX('任务登记'!$E$2:$E$201,MATCH(D15,'任务登记'!$A$2:$A$201,0))=INDEX('任务登记'!$E$2:$E$201,MATCH(E15,'任务登记'!$A$2:$A$201,0)),"A与B为同一人",IF(OR(M15=INDEX('任务登记'!$E$2:$E$201,MATCH(D15,'任务登记'!$A$2:$A$201,0)),M15=INDEX('任务登记'!$E$2:$E$201,MATCH(E15,'任务登记'!$A$2:$A$201,0))),"裁决者参与原标注","字段齐备"))))))))))</x:f>
      </x:c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10" t="str">
        <x:f>IF(COUNTA(A16:P16)=0,"",IF(OR(A16="",B16="",C16="",D16="",E16="",F16="",G16="",H16="",I16="",J16="",K16="",L16="",M16="",N16="",O16=""),"缺必填",IF(COUNTIF($A$2:$A$201,A16)&gt;1,"ID重复",IF(COUNTIF('案件'!$A$2:$A$201,B16)&lt;&gt;1,"案件ID无效",IF(D16=E16,"A与B任务相同",IF(OR(COUNTIF('任务登记'!$A$2:$A$201,D16)&lt;&gt;1,COUNTIF('任务登记'!$A$2:$A$201,E16)&lt;&gt;1),"裁决任务ID无效",IF(OR(INDEX('任务登记'!$B$2:$B$201,MATCH(D16,'任务登记'!$A$2:$A$201,0))&lt;&gt;B16,INDEX('任务登记'!$B$2:$B$201,MATCH(E16,'任务登记'!$A$2:$A$201,0))&lt;&gt;B16),"裁决任务跨案",IF(OR(INDEX('任务登记'!$F$2:$F$201,MATCH(D16,'任务登记'!$A$2:$A$201,0))&lt;&gt;"A",INDEX('任务登记'!$F$2:$F$201,MATCH(E16,'任务登记'!$A$2:$A$201,0))&lt;&gt;"B"),"裁决角色不符",IF(INDEX('任务登记'!$E$2:$E$201,MATCH(D16,'任务登记'!$A$2:$A$201,0))=INDEX('任务登记'!$E$2:$E$201,MATCH(E16,'任务登记'!$A$2:$A$201,0)),"A与B为同一人",IF(OR(M16=INDEX('任务登记'!$E$2:$E$201,MATCH(D16,'任务登记'!$A$2:$A$201,0)),M16=INDEX('任务登记'!$E$2:$E$201,MATCH(E16,'任务登记'!$A$2:$A$201,0))),"裁决者参与原标注","字段齐备"))))))))))</x:f>
      </x:c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10" t="str">
        <x:f>IF(COUNTA(A17:P17)=0,"",IF(OR(A17="",B17="",C17="",D17="",E17="",F17="",G17="",H17="",I17="",J17="",K17="",L17="",M17="",N17="",O17=""),"缺必填",IF(COUNTIF($A$2:$A$201,A17)&gt;1,"ID重复",IF(COUNTIF('案件'!$A$2:$A$201,B17)&lt;&gt;1,"案件ID无效",IF(D17=E17,"A与B任务相同",IF(OR(COUNTIF('任务登记'!$A$2:$A$201,D17)&lt;&gt;1,COUNTIF('任务登记'!$A$2:$A$201,E17)&lt;&gt;1),"裁决任务ID无效",IF(OR(INDEX('任务登记'!$B$2:$B$201,MATCH(D17,'任务登记'!$A$2:$A$201,0))&lt;&gt;B17,INDEX('任务登记'!$B$2:$B$201,MATCH(E17,'任务登记'!$A$2:$A$201,0))&lt;&gt;B17),"裁决任务跨案",IF(OR(INDEX('任务登记'!$F$2:$F$201,MATCH(D17,'任务登记'!$A$2:$A$201,0))&lt;&gt;"A",INDEX('任务登记'!$F$2:$F$201,MATCH(E17,'任务登记'!$A$2:$A$201,0))&lt;&gt;"B"),"裁决角色不符",IF(INDEX('任务登记'!$E$2:$E$201,MATCH(D17,'任务登记'!$A$2:$A$201,0))=INDEX('任务登记'!$E$2:$E$201,MATCH(E17,'任务登记'!$A$2:$A$201,0)),"A与B为同一人",IF(OR(M17=INDEX('任务登记'!$E$2:$E$201,MATCH(D17,'任务登记'!$A$2:$A$201,0)),M17=INDEX('任务登记'!$E$2:$E$201,MATCH(E17,'任务登记'!$A$2:$A$201,0))),"裁决者参与原标注","字段齐备"))))))))))</x:f>
      </x:c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10" t="str">
        <x:f>IF(COUNTA(A18:P18)=0,"",IF(OR(A18="",B18="",C18="",D18="",E18="",F18="",G18="",H18="",I18="",J18="",K18="",L18="",M18="",N18="",O18=""),"缺必填",IF(COUNTIF($A$2:$A$201,A18)&gt;1,"ID重复",IF(COUNTIF('案件'!$A$2:$A$201,B18)&lt;&gt;1,"案件ID无效",IF(D18=E18,"A与B任务相同",IF(OR(COUNTIF('任务登记'!$A$2:$A$201,D18)&lt;&gt;1,COUNTIF('任务登记'!$A$2:$A$201,E18)&lt;&gt;1),"裁决任务ID无效",IF(OR(INDEX('任务登记'!$B$2:$B$201,MATCH(D18,'任务登记'!$A$2:$A$201,0))&lt;&gt;B18,INDEX('任务登记'!$B$2:$B$201,MATCH(E18,'任务登记'!$A$2:$A$201,0))&lt;&gt;B18),"裁决任务跨案",IF(OR(INDEX('任务登记'!$F$2:$F$201,MATCH(D18,'任务登记'!$A$2:$A$201,0))&lt;&gt;"A",INDEX('任务登记'!$F$2:$F$201,MATCH(E18,'任务登记'!$A$2:$A$201,0))&lt;&gt;"B"),"裁决角色不符",IF(INDEX('任务登记'!$E$2:$E$201,MATCH(D18,'任务登记'!$A$2:$A$201,0))=INDEX('任务登记'!$E$2:$E$201,MATCH(E18,'任务登记'!$A$2:$A$201,0)),"A与B为同一人",IF(OR(M18=INDEX('任务登记'!$E$2:$E$201,MATCH(D18,'任务登记'!$A$2:$A$201,0)),M18=INDEX('任务登记'!$E$2:$E$201,MATCH(E18,'任务登记'!$A$2:$A$201,0))),"裁决者参与原标注","字段齐备"))))))))))</x:f>
      </x:c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10" t="str">
        <x:f>IF(COUNTA(A19:P19)=0,"",IF(OR(A19="",B19="",C19="",D19="",E19="",F19="",G19="",H19="",I19="",J19="",K19="",L19="",M19="",N19="",O19=""),"缺必填",IF(COUNTIF($A$2:$A$201,A19)&gt;1,"ID重复",IF(COUNTIF('案件'!$A$2:$A$201,B19)&lt;&gt;1,"案件ID无效",IF(D19=E19,"A与B任务相同",IF(OR(COUNTIF('任务登记'!$A$2:$A$201,D19)&lt;&gt;1,COUNTIF('任务登记'!$A$2:$A$201,E19)&lt;&gt;1),"裁决任务ID无效",IF(OR(INDEX('任务登记'!$B$2:$B$201,MATCH(D19,'任务登记'!$A$2:$A$201,0))&lt;&gt;B19,INDEX('任务登记'!$B$2:$B$201,MATCH(E19,'任务登记'!$A$2:$A$201,0))&lt;&gt;B19),"裁决任务跨案",IF(OR(INDEX('任务登记'!$F$2:$F$201,MATCH(D19,'任务登记'!$A$2:$A$201,0))&lt;&gt;"A",INDEX('任务登记'!$F$2:$F$201,MATCH(E19,'任务登记'!$A$2:$A$201,0))&lt;&gt;"B"),"裁决角色不符",IF(INDEX('任务登记'!$E$2:$E$201,MATCH(D19,'任务登记'!$A$2:$A$201,0))=INDEX('任务登记'!$E$2:$E$201,MATCH(E19,'任务登记'!$A$2:$A$201,0)),"A与B为同一人",IF(OR(M19=INDEX('任务登记'!$E$2:$E$201,MATCH(D19,'任务登记'!$A$2:$A$201,0)),M19=INDEX('任务登记'!$E$2:$E$201,MATCH(E19,'任务登记'!$A$2:$A$201,0))),"裁决者参与原标注","字段齐备"))))))))))</x:f>
      </x:c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10" t="str">
        <x:f>IF(COUNTA(A20:P20)=0,"",IF(OR(A20="",B20="",C20="",D20="",E20="",F20="",G20="",H20="",I20="",J20="",K20="",L20="",M20="",N20="",O20=""),"缺必填",IF(COUNTIF($A$2:$A$201,A20)&gt;1,"ID重复",IF(COUNTIF('案件'!$A$2:$A$201,B20)&lt;&gt;1,"案件ID无效",IF(D20=E20,"A与B任务相同",IF(OR(COUNTIF('任务登记'!$A$2:$A$201,D20)&lt;&gt;1,COUNTIF('任务登记'!$A$2:$A$201,E20)&lt;&gt;1),"裁决任务ID无效",IF(OR(INDEX('任务登记'!$B$2:$B$201,MATCH(D20,'任务登记'!$A$2:$A$201,0))&lt;&gt;B20,INDEX('任务登记'!$B$2:$B$201,MATCH(E20,'任务登记'!$A$2:$A$201,0))&lt;&gt;B20),"裁决任务跨案",IF(OR(INDEX('任务登记'!$F$2:$F$201,MATCH(D20,'任务登记'!$A$2:$A$201,0))&lt;&gt;"A",INDEX('任务登记'!$F$2:$F$201,MATCH(E20,'任务登记'!$A$2:$A$201,0))&lt;&gt;"B"),"裁决角色不符",IF(INDEX('任务登记'!$E$2:$E$201,MATCH(D20,'任务登记'!$A$2:$A$201,0))=INDEX('任务登记'!$E$2:$E$201,MATCH(E20,'任务登记'!$A$2:$A$201,0)),"A与B为同一人",IF(OR(M20=INDEX('任务登记'!$E$2:$E$201,MATCH(D20,'任务登记'!$A$2:$A$201,0)),M20=INDEX('任务登记'!$E$2:$E$201,MATCH(E20,'任务登记'!$A$2:$A$201,0))),"裁决者参与原标注","字段齐备"))))))))))</x:f>
      </x:c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10" t="str">
        <x:f>IF(COUNTA(A21:P21)=0,"",IF(OR(A21="",B21="",C21="",D21="",E21="",F21="",G21="",H21="",I21="",J21="",K21="",L21="",M21="",N21="",O21=""),"缺必填",IF(COUNTIF($A$2:$A$201,A21)&gt;1,"ID重复",IF(COUNTIF('案件'!$A$2:$A$201,B21)&lt;&gt;1,"案件ID无效",IF(D21=E21,"A与B任务相同",IF(OR(COUNTIF('任务登记'!$A$2:$A$201,D21)&lt;&gt;1,COUNTIF('任务登记'!$A$2:$A$201,E21)&lt;&gt;1),"裁决任务ID无效",IF(OR(INDEX('任务登记'!$B$2:$B$201,MATCH(D21,'任务登记'!$A$2:$A$201,0))&lt;&gt;B21,INDEX('任务登记'!$B$2:$B$201,MATCH(E21,'任务登记'!$A$2:$A$201,0))&lt;&gt;B21),"裁决任务跨案",IF(OR(INDEX('任务登记'!$F$2:$F$201,MATCH(D21,'任务登记'!$A$2:$A$201,0))&lt;&gt;"A",INDEX('任务登记'!$F$2:$F$201,MATCH(E21,'任务登记'!$A$2:$A$201,0))&lt;&gt;"B"),"裁决角色不符",IF(INDEX('任务登记'!$E$2:$E$201,MATCH(D21,'任务登记'!$A$2:$A$201,0))=INDEX('任务登记'!$E$2:$E$201,MATCH(E21,'任务登记'!$A$2:$A$201,0)),"A与B为同一人",IF(OR(M21=INDEX('任务登记'!$E$2:$E$201,MATCH(D21,'任务登记'!$A$2:$A$201,0)),M21=INDEX('任务登记'!$E$2:$E$201,MATCH(E21,'任务登记'!$A$2:$A$201,0))),"裁决者参与原标注","字段齐备"))))))))))</x:f>
      </x:c>
    </x:row>
    <x:row r="22" ht="3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10" t="str">
        <x:f>IF(COUNTA(A22:P22)=0,"",IF(OR(A22="",B22="",C22="",D22="",E22="",F22="",G22="",H22="",I22="",J22="",K22="",L22="",M22="",N22="",O22=""),"缺必填",IF(COUNTIF($A$2:$A$201,A22)&gt;1,"ID重复",IF(COUNTIF('案件'!$A$2:$A$201,B22)&lt;&gt;1,"案件ID无效",IF(D22=E22,"A与B任务相同",IF(OR(COUNTIF('任务登记'!$A$2:$A$201,D22)&lt;&gt;1,COUNTIF('任务登记'!$A$2:$A$201,E22)&lt;&gt;1),"裁决任务ID无效",IF(OR(INDEX('任务登记'!$B$2:$B$201,MATCH(D22,'任务登记'!$A$2:$A$201,0))&lt;&gt;B22,INDEX('任务登记'!$B$2:$B$201,MATCH(E22,'任务登记'!$A$2:$A$201,0))&lt;&gt;B22),"裁决任务跨案",IF(OR(INDEX('任务登记'!$F$2:$F$201,MATCH(D22,'任务登记'!$A$2:$A$201,0))&lt;&gt;"A",INDEX('任务登记'!$F$2:$F$201,MATCH(E22,'任务登记'!$A$2:$A$201,0))&lt;&gt;"B"),"裁决角色不符",IF(INDEX('任务登记'!$E$2:$E$201,MATCH(D22,'任务登记'!$A$2:$A$201,0))=INDEX('任务登记'!$E$2:$E$201,MATCH(E22,'任务登记'!$A$2:$A$201,0)),"A与B为同一人",IF(OR(M22=INDEX('任务登记'!$E$2:$E$201,MATCH(D22,'任务登记'!$A$2:$A$201,0)),M22=INDEX('任务登记'!$E$2:$E$201,MATCH(E22,'任务登记'!$A$2:$A$201,0))),"裁决者参与原标注","字段齐备"))))))))))</x:f>
      </x:c>
    </x:row>
    <x:row r="23" ht="3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10" t="str">
        <x:f>IF(COUNTA(A23:P23)=0,"",IF(OR(A23="",B23="",C23="",D23="",E23="",F23="",G23="",H23="",I23="",J23="",K23="",L23="",M23="",N23="",O23=""),"缺必填",IF(COUNTIF($A$2:$A$201,A23)&gt;1,"ID重复",IF(COUNTIF('案件'!$A$2:$A$201,B23)&lt;&gt;1,"案件ID无效",IF(D23=E23,"A与B任务相同",IF(OR(COUNTIF('任务登记'!$A$2:$A$201,D23)&lt;&gt;1,COUNTIF('任务登记'!$A$2:$A$201,E23)&lt;&gt;1),"裁决任务ID无效",IF(OR(INDEX('任务登记'!$B$2:$B$201,MATCH(D23,'任务登记'!$A$2:$A$201,0))&lt;&gt;B23,INDEX('任务登记'!$B$2:$B$201,MATCH(E23,'任务登记'!$A$2:$A$201,0))&lt;&gt;B23),"裁决任务跨案",IF(OR(INDEX('任务登记'!$F$2:$F$201,MATCH(D23,'任务登记'!$A$2:$A$201,0))&lt;&gt;"A",INDEX('任务登记'!$F$2:$F$201,MATCH(E23,'任务登记'!$A$2:$A$201,0))&lt;&gt;"B"),"裁决角色不符",IF(INDEX('任务登记'!$E$2:$E$201,MATCH(D23,'任务登记'!$A$2:$A$201,0))=INDEX('任务登记'!$E$2:$E$201,MATCH(E23,'任务登记'!$A$2:$A$201,0)),"A与B为同一人",IF(OR(M23=INDEX('任务登记'!$E$2:$E$201,MATCH(D23,'任务登记'!$A$2:$A$201,0)),M23=INDEX('任务登记'!$E$2:$E$201,MATCH(E23,'任务登记'!$A$2:$A$201,0))),"裁决者参与原标注","字段齐备"))))))))))</x:f>
      </x:c>
    </x:row>
    <x:row r="24" ht="3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10" t="str">
        <x:f>IF(COUNTA(A24:P24)=0,"",IF(OR(A24="",B24="",C24="",D24="",E24="",F24="",G24="",H24="",I24="",J24="",K24="",L24="",M24="",N24="",O24=""),"缺必填",IF(COUNTIF($A$2:$A$201,A24)&gt;1,"ID重复",IF(COUNTIF('案件'!$A$2:$A$201,B24)&lt;&gt;1,"案件ID无效",IF(D24=E24,"A与B任务相同",IF(OR(COUNTIF('任务登记'!$A$2:$A$201,D24)&lt;&gt;1,COUNTIF('任务登记'!$A$2:$A$201,E24)&lt;&gt;1),"裁决任务ID无效",IF(OR(INDEX('任务登记'!$B$2:$B$201,MATCH(D24,'任务登记'!$A$2:$A$201,0))&lt;&gt;B24,INDEX('任务登记'!$B$2:$B$201,MATCH(E24,'任务登记'!$A$2:$A$201,0))&lt;&gt;B24),"裁决任务跨案",IF(OR(INDEX('任务登记'!$F$2:$F$201,MATCH(D24,'任务登记'!$A$2:$A$201,0))&lt;&gt;"A",INDEX('任务登记'!$F$2:$F$201,MATCH(E24,'任务登记'!$A$2:$A$201,0))&lt;&gt;"B"),"裁决角色不符",IF(INDEX('任务登记'!$E$2:$E$201,MATCH(D24,'任务登记'!$A$2:$A$201,0))=INDEX('任务登记'!$E$2:$E$201,MATCH(E24,'任务登记'!$A$2:$A$201,0)),"A与B为同一人",IF(OR(M24=INDEX('任务登记'!$E$2:$E$201,MATCH(D24,'任务登记'!$A$2:$A$201,0)),M24=INDEX('任务登记'!$E$2:$E$201,MATCH(E24,'任务登记'!$A$2:$A$201,0))),"裁决者参与原标注","字段齐备"))))))))))</x:f>
      </x:c>
    </x:row>
    <x:row r="25" ht="3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10" t="str">
        <x:f>IF(COUNTA(A25:P25)=0,"",IF(OR(A25="",B25="",C25="",D25="",E25="",F25="",G25="",H25="",I25="",J25="",K25="",L25="",M25="",N25="",O25=""),"缺必填",IF(COUNTIF($A$2:$A$201,A25)&gt;1,"ID重复",IF(COUNTIF('案件'!$A$2:$A$201,B25)&lt;&gt;1,"案件ID无效",IF(D25=E25,"A与B任务相同",IF(OR(COUNTIF('任务登记'!$A$2:$A$201,D25)&lt;&gt;1,COUNTIF('任务登记'!$A$2:$A$201,E25)&lt;&gt;1),"裁决任务ID无效",IF(OR(INDEX('任务登记'!$B$2:$B$201,MATCH(D25,'任务登记'!$A$2:$A$201,0))&lt;&gt;B25,INDEX('任务登记'!$B$2:$B$201,MATCH(E25,'任务登记'!$A$2:$A$201,0))&lt;&gt;B25),"裁决任务跨案",IF(OR(INDEX('任务登记'!$F$2:$F$201,MATCH(D25,'任务登记'!$A$2:$A$201,0))&lt;&gt;"A",INDEX('任务登记'!$F$2:$F$201,MATCH(E25,'任务登记'!$A$2:$A$201,0))&lt;&gt;"B"),"裁决角色不符",IF(INDEX('任务登记'!$E$2:$E$201,MATCH(D25,'任务登记'!$A$2:$A$201,0))=INDEX('任务登记'!$E$2:$E$201,MATCH(E25,'任务登记'!$A$2:$A$201,0)),"A与B为同一人",IF(OR(M25=INDEX('任务登记'!$E$2:$E$201,MATCH(D25,'任务登记'!$A$2:$A$201,0)),M25=INDEX('任务登记'!$E$2:$E$201,MATCH(E25,'任务登记'!$A$2:$A$201,0))),"裁决者参与原标注","字段齐备"))))))))))</x:f>
      </x:c>
    </x:row>
    <x:row r="26" ht="3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10" t="str">
        <x:f>IF(COUNTA(A26:P26)=0,"",IF(OR(A26="",B26="",C26="",D26="",E26="",F26="",G26="",H26="",I26="",J26="",K26="",L26="",M26="",N26="",O26=""),"缺必填",IF(COUNTIF($A$2:$A$201,A26)&gt;1,"ID重复",IF(COUNTIF('案件'!$A$2:$A$201,B26)&lt;&gt;1,"案件ID无效",IF(D26=E26,"A与B任务相同",IF(OR(COUNTIF('任务登记'!$A$2:$A$201,D26)&lt;&gt;1,COUNTIF('任务登记'!$A$2:$A$201,E26)&lt;&gt;1),"裁决任务ID无效",IF(OR(INDEX('任务登记'!$B$2:$B$201,MATCH(D26,'任务登记'!$A$2:$A$201,0))&lt;&gt;B26,INDEX('任务登记'!$B$2:$B$201,MATCH(E26,'任务登记'!$A$2:$A$201,0))&lt;&gt;B26),"裁决任务跨案",IF(OR(INDEX('任务登记'!$F$2:$F$201,MATCH(D26,'任务登记'!$A$2:$A$201,0))&lt;&gt;"A",INDEX('任务登记'!$F$2:$F$201,MATCH(E26,'任务登记'!$A$2:$A$201,0))&lt;&gt;"B"),"裁决角色不符",IF(INDEX('任务登记'!$E$2:$E$201,MATCH(D26,'任务登记'!$A$2:$A$201,0))=INDEX('任务登记'!$E$2:$E$201,MATCH(E26,'任务登记'!$A$2:$A$201,0)),"A与B为同一人",IF(OR(M26=INDEX('任务登记'!$E$2:$E$201,MATCH(D26,'任务登记'!$A$2:$A$201,0)),M26=INDEX('任务登记'!$E$2:$E$201,MATCH(E26,'任务登记'!$A$2:$A$201,0))),"裁决者参与原标注","字段齐备"))))))))))</x:f>
      </x:c>
    </x:row>
    <x:row r="27" ht="3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10" t="str">
        <x:f>IF(COUNTA(A27:P27)=0,"",IF(OR(A27="",B27="",C27="",D27="",E27="",F27="",G27="",H27="",I27="",J27="",K27="",L27="",M27="",N27="",O27=""),"缺必填",IF(COUNTIF($A$2:$A$201,A27)&gt;1,"ID重复",IF(COUNTIF('案件'!$A$2:$A$201,B27)&lt;&gt;1,"案件ID无效",IF(D27=E27,"A与B任务相同",IF(OR(COUNTIF('任务登记'!$A$2:$A$201,D27)&lt;&gt;1,COUNTIF('任务登记'!$A$2:$A$201,E27)&lt;&gt;1),"裁决任务ID无效",IF(OR(INDEX('任务登记'!$B$2:$B$201,MATCH(D27,'任务登记'!$A$2:$A$201,0))&lt;&gt;B27,INDEX('任务登记'!$B$2:$B$201,MATCH(E27,'任务登记'!$A$2:$A$201,0))&lt;&gt;B27),"裁决任务跨案",IF(OR(INDEX('任务登记'!$F$2:$F$201,MATCH(D27,'任务登记'!$A$2:$A$201,0))&lt;&gt;"A",INDEX('任务登记'!$F$2:$F$201,MATCH(E27,'任务登记'!$A$2:$A$201,0))&lt;&gt;"B"),"裁决角色不符",IF(INDEX('任务登记'!$E$2:$E$201,MATCH(D27,'任务登记'!$A$2:$A$201,0))=INDEX('任务登记'!$E$2:$E$201,MATCH(E27,'任务登记'!$A$2:$A$201,0)),"A与B为同一人",IF(OR(M27=INDEX('任务登记'!$E$2:$E$201,MATCH(D27,'任务登记'!$A$2:$A$201,0)),M27=INDEX('任务登记'!$E$2:$E$201,MATCH(E27,'任务登记'!$A$2:$A$201,0))),"裁决者参与原标注","字段齐备"))))))))))</x:f>
      </x:c>
    </x:row>
    <x:row r="28" ht="3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10" t="str">
        <x:f>IF(COUNTA(A28:P28)=0,"",IF(OR(A28="",B28="",C28="",D28="",E28="",F28="",G28="",H28="",I28="",J28="",K28="",L28="",M28="",N28="",O28=""),"缺必填",IF(COUNTIF($A$2:$A$201,A28)&gt;1,"ID重复",IF(COUNTIF('案件'!$A$2:$A$201,B28)&lt;&gt;1,"案件ID无效",IF(D28=E28,"A与B任务相同",IF(OR(COUNTIF('任务登记'!$A$2:$A$201,D28)&lt;&gt;1,COUNTIF('任务登记'!$A$2:$A$201,E28)&lt;&gt;1),"裁决任务ID无效",IF(OR(INDEX('任务登记'!$B$2:$B$201,MATCH(D28,'任务登记'!$A$2:$A$201,0))&lt;&gt;B28,INDEX('任务登记'!$B$2:$B$201,MATCH(E28,'任务登记'!$A$2:$A$201,0))&lt;&gt;B28),"裁决任务跨案",IF(OR(INDEX('任务登记'!$F$2:$F$201,MATCH(D28,'任务登记'!$A$2:$A$201,0))&lt;&gt;"A",INDEX('任务登记'!$F$2:$F$201,MATCH(E28,'任务登记'!$A$2:$A$201,0))&lt;&gt;"B"),"裁决角色不符",IF(INDEX('任务登记'!$E$2:$E$201,MATCH(D28,'任务登记'!$A$2:$A$201,0))=INDEX('任务登记'!$E$2:$E$201,MATCH(E28,'任务登记'!$A$2:$A$201,0)),"A与B为同一人",IF(OR(M28=INDEX('任务登记'!$E$2:$E$201,MATCH(D28,'任务登记'!$A$2:$A$201,0)),M28=INDEX('任务登记'!$E$2:$E$201,MATCH(E28,'任务登记'!$A$2:$A$201,0))),"裁决者参与原标注","字段齐备"))))))))))</x:f>
      </x:c>
    </x:row>
    <x:row r="29" ht="3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10" t="str">
        <x:f>IF(COUNTA(A29:P29)=0,"",IF(OR(A29="",B29="",C29="",D29="",E29="",F29="",G29="",H29="",I29="",J29="",K29="",L29="",M29="",N29="",O29=""),"缺必填",IF(COUNTIF($A$2:$A$201,A29)&gt;1,"ID重复",IF(COUNTIF('案件'!$A$2:$A$201,B29)&lt;&gt;1,"案件ID无效",IF(D29=E29,"A与B任务相同",IF(OR(COUNTIF('任务登记'!$A$2:$A$201,D29)&lt;&gt;1,COUNTIF('任务登记'!$A$2:$A$201,E29)&lt;&gt;1),"裁决任务ID无效",IF(OR(INDEX('任务登记'!$B$2:$B$201,MATCH(D29,'任务登记'!$A$2:$A$201,0))&lt;&gt;B29,INDEX('任务登记'!$B$2:$B$201,MATCH(E29,'任务登记'!$A$2:$A$201,0))&lt;&gt;B29),"裁决任务跨案",IF(OR(INDEX('任务登记'!$F$2:$F$201,MATCH(D29,'任务登记'!$A$2:$A$201,0))&lt;&gt;"A",INDEX('任务登记'!$F$2:$F$201,MATCH(E29,'任务登记'!$A$2:$A$201,0))&lt;&gt;"B"),"裁决角色不符",IF(INDEX('任务登记'!$E$2:$E$201,MATCH(D29,'任务登记'!$A$2:$A$201,0))=INDEX('任务登记'!$E$2:$E$201,MATCH(E29,'任务登记'!$A$2:$A$201,0)),"A与B为同一人",IF(OR(M29=INDEX('任务登记'!$E$2:$E$201,MATCH(D29,'任务登记'!$A$2:$A$201,0)),M29=INDEX('任务登记'!$E$2:$E$201,MATCH(E29,'任务登记'!$A$2:$A$201,0))),"裁决者参与原标注","字段齐备"))))))))))</x:f>
      </x:c>
    </x:row>
    <x:row r="30" ht="3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10" t="str">
        <x:f>IF(COUNTA(A30:P30)=0,"",IF(OR(A30="",B30="",C30="",D30="",E30="",F30="",G30="",H30="",I30="",J30="",K30="",L30="",M30="",N30="",O30=""),"缺必填",IF(COUNTIF($A$2:$A$201,A30)&gt;1,"ID重复",IF(COUNTIF('案件'!$A$2:$A$201,B30)&lt;&gt;1,"案件ID无效",IF(D30=E30,"A与B任务相同",IF(OR(COUNTIF('任务登记'!$A$2:$A$201,D30)&lt;&gt;1,COUNTIF('任务登记'!$A$2:$A$201,E30)&lt;&gt;1),"裁决任务ID无效",IF(OR(INDEX('任务登记'!$B$2:$B$201,MATCH(D30,'任务登记'!$A$2:$A$201,0))&lt;&gt;B30,INDEX('任务登记'!$B$2:$B$201,MATCH(E30,'任务登记'!$A$2:$A$201,0))&lt;&gt;B30),"裁决任务跨案",IF(OR(INDEX('任务登记'!$F$2:$F$201,MATCH(D30,'任务登记'!$A$2:$A$201,0))&lt;&gt;"A",INDEX('任务登记'!$F$2:$F$201,MATCH(E30,'任务登记'!$A$2:$A$201,0))&lt;&gt;"B"),"裁决角色不符",IF(INDEX('任务登记'!$E$2:$E$201,MATCH(D30,'任务登记'!$A$2:$A$201,0))=INDEX('任务登记'!$E$2:$E$201,MATCH(E30,'任务登记'!$A$2:$A$201,0)),"A与B为同一人",IF(OR(M30=INDEX('任务登记'!$E$2:$E$201,MATCH(D30,'任务登记'!$A$2:$A$201,0)),M30=INDEX('任务登记'!$E$2:$E$201,MATCH(E30,'任务登记'!$A$2:$A$201,0))),"裁决者参与原标注","字段齐备"))))))))))</x:f>
      </x:c>
    </x:row>
    <x:row r="31" ht="3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10" t="str">
        <x:f>IF(COUNTA(A31:P31)=0,"",IF(OR(A31="",B31="",C31="",D31="",E31="",F31="",G31="",H31="",I31="",J31="",K31="",L31="",M31="",N31="",O31=""),"缺必填",IF(COUNTIF($A$2:$A$201,A31)&gt;1,"ID重复",IF(COUNTIF('案件'!$A$2:$A$201,B31)&lt;&gt;1,"案件ID无效",IF(D31=E31,"A与B任务相同",IF(OR(COUNTIF('任务登记'!$A$2:$A$201,D31)&lt;&gt;1,COUNTIF('任务登记'!$A$2:$A$201,E31)&lt;&gt;1),"裁决任务ID无效",IF(OR(INDEX('任务登记'!$B$2:$B$201,MATCH(D31,'任务登记'!$A$2:$A$201,0))&lt;&gt;B31,INDEX('任务登记'!$B$2:$B$201,MATCH(E31,'任务登记'!$A$2:$A$201,0))&lt;&gt;B31),"裁决任务跨案",IF(OR(INDEX('任务登记'!$F$2:$F$201,MATCH(D31,'任务登记'!$A$2:$A$201,0))&lt;&gt;"A",INDEX('任务登记'!$F$2:$F$201,MATCH(E31,'任务登记'!$A$2:$A$201,0))&lt;&gt;"B"),"裁决角色不符",IF(INDEX('任务登记'!$E$2:$E$201,MATCH(D31,'任务登记'!$A$2:$A$201,0))=INDEX('任务登记'!$E$2:$E$201,MATCH(E31,'任务登记'!$A$2:$A$201,0)),"A与B为同一人",IF(OR(M31=INDEX('任务登记'!$E$2:$E$201,MATCH(D31,'任务登记'!$A$2:$A$201,0)),M31=INDEX('任务登记'!$E$2:$E$201,MATCH(E31,'任务登记'!$A$2:$A$201,0))),"裁决者参与原标注","字段齐备"))))))))))</x:f>
      </x:c>
    </x:row>
    <x:row r="32" ht="3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10" t="str">
        <x:f>IF(COUNTA(A32:P32)=0,"",IF(OR(A32="",B32="",C32="",D32="",E32="",F32="",G32="",H32="",I32="",J32="",K32="",L32="",M32="",N32="",O32=""),"缺必填",IF(COUNTIF($A$2:$A$201,A32)&gt;1,"ID重复",IF(COUNTIF('案件'!$A$2:$A$201,B32)&lt;&gt;1,"案件ID无效",IF(D32=E32,"A与B任务相同",IF(OR(COUNTIF('任务登记'!$A$2:$A$201,D32)&lt;&gt;1,COUNTIF('任务登记'!$A$2:$A$201,E32)&lt;&gt;1),"裁决任务ID无效",IF(OR(INDEX('任务登记'!$B$2:$B$201,MATCH(D32,'任务登记'!$A$2:$A$201,0))&lt;&gt;B32,INDEX('任务登记'!$B$2:$B$201,MATCH(E32,'任务登记'!$A$2:$A$201,0))&lt;&gt;B32),"裁决任务跨案",IF(OR(INDEX('任务登记'!$F$2:$F$201,MATCH(D32,'任务登记'!$A$2:$A$201,0))&lt;&gt;"A",INDEX('任务登记'!$F$2:$F$201,MATCH(E32,'任务登记'!$A$2:$A$201,0))&lt;&gt;"B"),"裁决角色不符",IF(INDEX('任务登记'!$E$2:$E$201,MATCH(D32,'任务登记'!$A$2:$A$201,0))=INDEX('任务登记'!$E$2:$E$201,MATCH(E32,'任务登记'!$A$2:$A$201,0)),"A与B为同一人",IF(OR(M32=INDEX('任务登记'!$E$2:$E$201,MATCH(D32,'任务登记'!$A$2:$A$201,0)),M32=INDEX('任务登记'!$E$2:$E$201,MATCH(E32,'任务登记'!$A$2:$A$201,0))),"裁决者参与原标注","字段齐备"))))))))))</x:f>
      </x:c>
    </x:row>
    <x:row r="33" ht="3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10" t="str">
        <x:f>IF(COUNTA(A33:P33)=0,"",IF(OR(A33="",B33="",C33="",D33="",E33="",F33="",G33="",H33="",I33="",J33="",K33="",L33="",M33="",N33="",O33=""),"缺必填",IF(COUNTIF($A$2:$A$201,A33)&gt;1,"ID重复",IF(COUNTIF('案件'!$A$2:$A$201,B33)&lt;&gt;1,"案件ID无效",IF(D33=E33,"A与B任务相同",IF(OR(COUNTIF('任务登记'!$A$2:$A$201,D33)&lt;&gt;1,COUNTIF('任务登记'!$A$2:$A$201,E33)&lt;&gt;1),"裁决任务ID无效",IF(OR(INDEX('任务登记'!$B$2:$B$201,MATCH(D33,'任务登记'!$A$2:$A$201,0))&lt;&gt;B33,INDEX('任务登记'!$B$2:$B$201,MATCH(E33,'任务登记'!$A$2:$A$201,0))&lt;&gt;B33),"裁决任务跨案",IF(OR(INDEX('任务登记'!$F$2:$F$201,MATCH(D33,'任务登记'!$A$2:$A$201,0))&lt;&gt;"A",INDEX('任务登记'!$F$2:$F$201,MATCH(E33,'任务登记'!$A$2:$A$201,0))&lt;&gt;"B"),"裁决角色不符",IF(INDEX('任务登记'!$E$2:$E$201,MATCH(D33,'任务登记'!$A$2:$A$201,0))=INDEX('任务登记'!$E$2:$E$201,MATCH(E33,'任务登记'!$A$2:$A$201,0)),"A与B为同一人",IF(OR(M33=INDEX('任务登记'!$E$2:$E$201,MATCH(D33,'任务登记'!$A$2:$A$201,0)),M33=INDEX('任务登记'!$E$2:$E$201,MATCH(E33,'任务登记'!$A$2:$A$201,0))),"裁决者参与原标注","字段齐备"))))))))))</x:f>
      </x:c>
    </x:row>
    <x:row r="34" ht="3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10" t="str">
        <x:f>IF(COUNTA(A34:P34)=0,"",IF(OR(A34="",B34="",C34="",D34="",E34="",F34="",G34="",H34="",I34="",J34="",K34="",L34="",M34="",N34="",O34=""),"缺必填",IF(COUNTIF($A$2:$A$201,A34)&gt;1,"ID重复",IF(COUNTIF('案件'!$A$2:$A$201,B34)&lt;&gt;1,"案件ID无效",IF(D34=E34,"A与B任务相同",IF(OR(COUNTIF('任务登记'!$A$2:$A$201,D34)&lt;&gt;1,COUNTIF('任务登记'!$A$2:$A$201,E34)&lt;&gt;1),"裁决任务ID无效",IF(OR(INDEX('任务登记'!$B$2:$B$201,MATCH(D34,'任务登记'!$A$2:$A$201,0))&lt;&gt;B34,INDEX('任务登记'!$B$2:$B$201,MATCH(E34,'任务登记'!$A$2:$A$201,0))&lt;&gt;B34),"裁决任务跨案",IF(OR(INDEX('任务登记'!$F$2:$F$201,MATCH(D34,'任务登记'!$A$2:$A$201,0))&lt;&gt;"A",INDEX('任务登记'!$F$2:$F$201,MATCH(E34,'任务登记'!$A$2:$A$201,0))&lt;&gt;"B"),"裁决角色不符",IF(INDEX('任务登记'!$E$2:$E$201,MATCH(D34,'任务登记'!$A$2:$A$201,0))=INDEX('任务登记'!$E$2:$E$201,MATCH(E34,'任务登记'!$A$2:$A$201,0)),"A与B为同一人",IF(OR(M34=INDEX('任务登记'!$E$2:$E$201,MATCH(D34,'任务登记'!$A$2:$A$201,0)),M34=INDEX('任务登记'!$E$2:$E$201,MATCH(E34,'任务登记'!$A$2:$A$201,0))),"裁决者参与原标注","字段齐备"))))))))))</x:f>
      </x:c>
    </x:row>
    <x:row r="35" ht="3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10" t="str">
        <x:f>IF(COUNTA(A35:P35)=0,"",IF(OR(A35="",B35="",C35="",D35="",E35="",F35="",G35="",H35="",I35="",J35="",K35="",L35="",M35="",N35="",O35=""),"缺必填",IF(COUNTIF($A$2:$A$201,A35)&gt;1,"ID重复",IF(COUNTIF('案件'!$A$2:$A$201,B35)&lt;&gt;1,"案件ID无效",IF(D35=E35,"A与B任务相同",IF(OR(COUNTIF('任务登记'!$A$2:$A$201,D35)&lt;&gt;1,COUNTIF('任务登记'!$A$2:$A$201,E35)&lt;&gt;1),"裁决任务ID无效",IF(OR(INDEX('任务登记'!$B$2:$B$201,MATCH(D35,'任务登记'!$A$2:$A$201,0))&lt;&gt;B35,INDEX('任务登记'!$B$2:$B$201,MATCH(E35,'任务登记'!$A$2:$A$201,0))&lt;&gt;B35),"裁决任务跨案",IF(OR(INDEX('任务登记'!$F$2:$F$201,MATCH(D35,'任务登记'!$A$2:$A$201,0))&lt;&gt;"A",INDEX('任务登记'!$F$2:$F$201,MATCH(E35,'任务登记'!$A$2:$A$201,0))&lt;&gt;"B"),"裁决角色不符",IF(INDEX('任务登记'!$E$2:$E$201,MATCH(D35,'任务登记'!$A$2:$A$201,0))=INDEX('任务登记'!$E$2:$E$201,MATCH(E35,'任务登记'!$A$2:$A$201,0)),"A与B为同一人",IF(OR(M35=INDEX('任务登记'!$E$2:$E$201,MATCH(D35,'任务登记'!$A$2:$A$201,0)),M35=INDEX('任务登记'!$E$2:$E$201,MATCH(E35,'任务登记'!$A$2:$A$201,0))),"裁决者参与原标注","字段齐备"))))))))))</x:f>
      </x:c>
    </x:row>
    <x:row r="36" ht="3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10" t="str">
        <x:f>IF(COUNTA(A36:P36)=0,"",IF(OR(A36="",B36="",C36="",D36="",E36="",F36="",G36="",H36="",I36="",J36="",K36="",L36="",M36="",N36="",O36=""),"缺必填",IF(COUNTIF($A$2:$A$201,A36)&gt;1,"ID重复",IF(COUNTIF('案件'!$A$2:$A$201,B36)&lt;&gt;1,"案件ID无效",IF(D36=E36,"A与B任务相同",IF(OR(COUNTIF('任务登记'!$A$2:$A$201,D36)&lt;&gt;1,COUNTIF('任务登记'!$A$2:$A$201,E36)&lt;&gt;1),"裁决任务ID无效",IF(OR(INDEX('任务登记'!$B$2:$B$201,MATCH(D36,'任务登记'!$A$2:$A$201,0))&lt;&gt;B36,INDEX('任务登记'!$B$2:$B$201,MATCH(E36,'任务登记'!$A$2:$A$201,0))&lt;&gt;B36),"裁决任务跨案",IF(OR(INDEX('任务登记'!$F$2:$F$201,MATCH(D36,'任务登记'!$A$2:$A$201,0))&lt;&gt;"A",INDEX('任务登记'!$F$2:$F$201,MATCH(E36,'任务登记'!$A$2:$A$201,0))&lt;&gt;"B"),"裁决角色不符",IF(INDEX('任务登记'!$E$2:$E$201,MATCH(D36,'任务登记'!$A$2:$A$201,0))=INDEX('任务登记'!$E$2:$E$201,MATCH(E36,'任务登记'!$A$2:$A$201,0)),"A与B为同一人",IF(OR(M36=INDEX('任务登记'!$E$2:$E$201,MATCH(D36,'任务登记'!$A$2:$A$201,0)),M36=INDEX('任务登记'!$E$2:$E$201,MATCH(E36,'任务登记'!$A$2:$A$201,0))),"裁决者参与原标注","字段齐备"))))))))))</x:f>
      </x:c>
    </x:row>
    <x:row r="37" ht="3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10" t="str">
        <x:f>IF(COUNTA(A37:P37)=0,"",IF(OR(A37="",B37="",C37="",D37="",E37="",F37="",G37="",H37="",I37="",J37="",K37="",L37="",M37="",N37="",O37=""),"缺必填",IF(COUNTIF($A$2:$A$201,A37)&gt;1,"ID重复",IF(COUNTIF('案件'!$A$2:$A$201,B37)&lt;&gt;1,"案件ID无效",IF(D37=E37,"A与B任务相同",IF(OR(COUNTIF('任务登记'!$A$2:$A$201,D37)&lt;&gt;1,COUNTIF('任务登记'!$A$2:$A$201,E37)&lt;&gt;1),"裁决任务ID无效",IF(OR(INDEX('任务登记'!$B$2:$B$201,MATCH(D37,'任务登记'!$A$2:$A$201,0))&lt;&gt;B37,INDEX('任务登记'!$B$2:$B$201,MATCH(E37,'任务登记'!$A$2:$A$201,0))&lt;&gt;B37),"裁决任务跨案",IF(OR(INDEX('任务登记'!$F$2:$F$201,MATCH(D37,'任务登记'!$A$2:$A$201,0))&lt;&gt;"A",INDEX('任务登记'!$F$2:$F$201,MATCH(E37,'任务登记'!$A$2:$A$201,0))&lt;&gt;"B"),"裁决角色不符",IF(INDEX('任务登记'!$E$2:$E$201,MATCH(D37,'任务登记'!$A$2:$A$201,0))=INDEX('任务登记'!$E$2:$E$201,MATCH(E37,'任务登记'!$A$2:$A$201,0)),"A与B为同一人",IF(OR(M37=INDEX('任务登记'!$E$2:$E$201,MATCH(D37,'任务登记'!$A$2:$A$201,0)),M37=INDEX('任务登记'!$E$2:$E$201,MATCH(E37,'任务登记'!$A$2:$A$201,0))),"裁决者参与原标注","字段齐备"))))))))))</x:f>
      </x:c>
    </x:row>
    <x:row r="38" ht="3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10" t="str">
        <x:f>IF(COUNTA(A38:P38)=0,"",IF(OR(A38="",B38="",C38="",D38="",E38="",F38="",G38="",H38="",I38="",J38="",K38="",L38="",M38="",N38="",O38=""),"缺必填",IF(COUNTIF($A$2:$A$201,A38)&gt;1,"ID重复",IF(COUNTIF('案件'!$A$2:$A$201,B38)&lt;&gt;1,"案件ID无效",IF(D38=E38,"A与B任务相同",IF(OR(COUNTIF('任务登记'!$A$2:$A$201,D38)&lt;&gt;1,COUNTIF('任务登记'!$A$2:$A$201,E38)&lt;&gt;1),"裁决任务ID无效",IF(OR(INDEX('任务登记'!$B$2:$B$201,MATCH(D38,'任务登记'!$A$2:$A$201,0))&lt;&gt;B38,INDEX('任务登记'!$B$2:$B$201,MATCH(E38,'任务登记'!$A$2:$A$201,0))&lt;&gt;B38),"裁决任务跨案",IF(OR(INDEX('任务登记'!$F$2:$F$201,MATCH(D38,'任务登记'!$A$2:$A$201,0))&lt;&gt;"A",INDEX('任务登记'!$F$2:$F$201,MATCH(E38,'任务登记'!$A$2:$A$201,0))&lt;&gt;"B"),"裁决角色不符",IF(INDEX('任务登记'!$E$2:$E$201,MATCH(D38,'任务登记'!$A$2:$A$201,0))=INDEX('任务登记'!$E$2:$E$201,MATCH(E38,'任务登记'!$A$2:$A$201,0)),"A与B为同一人",IF(OR(M38=INDEX('任务登记'!$E$2:$E$201,MATCH(D38,'任务登记'!$A$2:$A$201,0)),M38=INDEX('任务登记'!$E$2:$E$201,MATCH(E38,'任务登记'!$A$2:$A$201,0))),"裁决者参与原标注","字段齐备"))))))))))</x:f>
      </x:c>
    </x:row>
    <x:row r="39" ht="3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10" t="str">
        <x:f>IF(COUNTA(A39:P39)=0,"",IF(OR(A39="",B39="",C39="",D39="",E39="",F39="",G39="",H39="",I39="",J39="",K39="",L39="",M39="",N39="",O39=""),"缺必填",IF(COUNTIF($A$2:$A$201,A39)&gt;1,"ID重复",IF(COUNTIF('案件'!$A$2:$A$201,B39)&lt;&gt;1,"案件ID无效",IF(D39=E39,"A与B任务相同",IF(OR(COUNTIF('任务登记'!$A$2:$A$201,D39)&lt;&gt;1,COUNTIF('任务登记'!$A$2:$A$201,E39)&lt;&gt;1),"裁决任务ID无效",IF(OR(INDEX('任务登记'!$B$2:$B$201,MATCH(D39,'任务登记'!$A$2:$A$201,0))&lt;&gt;B39,INDEX('任务登记'!$B$2:$B$201,MATCH(E39,'任务登记'!$A$2:$A$201,0))&lt;&gt;B39),"裁决任务跨案",IF(OR(INDEX('任务登记'!$F$2:$F$201,MATCH(D39,'任务登记'!$A$2:$A$201,0))&lt;&gt;"A",INDEX('任务登记'!$F$2:$F$201,MATCH(E39,'任务登记'!$A$2:$A$201,0))&lt;&gt;"B"),"裁决角色不符",IF(INDEX('任务登记'!$E$2:$E$201,MATCH(D39,'任务登记'!$A$2:$A$201,0))=INDEX('任务登记'!$E$2:$E$201,MATCH(E39,'任务登记'!$A$2:$A$201,0)),"A与B为同一人",IF(OR(M39=INDEX('任务登记'!$E$2:$E$201,MATCH(D39,'任务登记'!$A$2:$A$201,0)),M39=INDEX('任务登记'!$E$2:$E$201,MATCH(E39,'任务登记'!$A$2:$A$201,0))),"裁决者参与原标注","字段齐备"))))))))))</x:f>
      </x:c>
    </x:row>
    <x:row r="40" ht="3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10" t="str">
        <x:f>IF(COUNTA(A40:P40)=0,"",IF(OR(A40="",B40="",C40="",D40="",E40="",F40="",G40="",H40="",I40="",J40="",K40="",L40="",M40="",N40="",O40=""),"缺必填",IF(COUNTIF($A$2:$A$201,A40)&gt;1,"ID重复",IF(COUNTIF('案件'!$A$2:$A$201,B40)&lt;&gt;1,"案件ID无效",IF(D40=E40,"A与B任务相同",IF(OR(COUNTIF('任务登记'!$A$2:$A$201,D40)&lt;&gt;1,COUNTIF('任务登记'!$A$2:$A$201,E40)&lt;&gt;1),"裁决任务ID无效",IF(OR(INDEX('任务登记'!$B$2:$B$201,MATCH(D40,'任务登记'!$A$2:$A$201,0))&lt;&gt;B40,INDEX('任务登记'!$B$2:$B$201,MATCH(E40,'任务登记'!$A$2:$A$201,0))&lt;&gt;B40),"裁决任务跨案",IF(OR(INDEX('任务登记'!$F$2:$F$201,MATCH(D40,'任务登记'!$A$2:$A$201,0))&lt;&gt;"A",INDEX('任务登记'!$F$2:$F$201,MATCH(E40,'任务登记'!$A$2:$A$201,0))&lt;&gt;"B"),"裁决角色不符",IF(INDEX('任务登记'!$E$2:$E$201,MATCH(D40,'任务登记'!$A$2:$A$201,0))=INDEX('任务登记'!$E$2:$E$201,MATCH(E40,'任务登记'!$A$2:$A$201,0)),"A与B为同一人",IF(OR(M40=INDEX('任务登记'!$E$2:$E$201,MATCH(D40,'任务登记'!$A$2:$A$201,0)),M40=INDEX('任务登记'!$E$2:$E$201,MATCH(E40,'任务登记'!$A$2:$A$201,0))),"裁决者参与原标注","字段齐备"))))))))))</x:f>
      </x:c>
    </x:row>
    <x:row r="41" ht="3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10" t="str">
        <x:f>IF(COUNTA(A41:P41)=0,"",IF(OR(A41="",B41="",C41="",D41="",E41="",F41="",G41="",H41="",I41="",J41="",K41="",L41="",M41="",N41="",O41=""),"缺必填",IF(COUNTIF($A$2:$A$201,A41)&gt;1,"ID重复",IF(COUNTIF('案件'!$A$2:$A$201,B41)&lt;&gt;1,"案件ID无效",IF(D41=E41,"A与B任务相同",IF(OR(COUNTIF('任务登记'!$A$2:$A$201,D41)&lt;&gt;1,COUNTIF('任务登记'!$A$2:$A$201,E41)&lt;&gt;1),"裁决任务ID无效",IF(OR(INDEX('任务登记'!$B$2:$B$201,MATCH(D41,'任务登记'!$A$2:$A$201,0))&lt;&gt;B41,INDEX('任务登记'!$B$2:$B$201,MATCH(E41,'任务登记'!$A$2:$A$201,0))&lt;&gt;B41),"裁决任务跨案",IF(OR(INDEX('任务登记'!$F$2:$F$201,MATCH(D41,'任务登记'!$A$2:$A$201,0))&lt;&gt;"A",INDEX('任务登记'!$F$2:$F$201,MATCH(E41,'任务登记'!$A$2:$A$201,0))&lt;&gt;"B"),"裁决角色不符",IF(INDEX('任务登记'!$E$2:$E$201,MATCH(D41,'任务登记'!$A$2:$A$201,0))=INDEX('任务登记'!$E$2:$E$201,MATCH(E41,'任务登记'!$A$2:$A$201,0)),"A与B为同一人",IF(OR(M41=INDEX('任务登记'!$E$2:$E$201,MATCH(D41,'任务登记'!$A$2:$A$201,0)),M41=INDEX('任务登记'!$E$2:$E$201,MATCH(E41,'任务登记'!$A$2:$A$201,0))),"裁决者参与原标注","字段齐备"))))))))))</x:f>
      </x:c>
    </x:row>
    <x:row r="42" ht="3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10" t="str">
        <x:f>IF(COUNTA(A42:P42)=0,"",IF(OR(A42="",B42="",C42="",D42="",E42="",F42="",G42="",H42="",I42="",J42="",K42="",L42="",M42="",N42="",O42=""),"缺必填",IF(COUNTIF($A$2:$A$201,A42)&gt;1,"ID重复",IF(COUNTIF('案件'!$A$2:$A$201,B42)&lt;&gt;1,"案件ID无效",IF(D42=E42,"A与B任务相同",IF(OR(COUNTIF('任务登记'!$A$2:$A$201,D42)&lt;&gt;1,COUNTIF('任务登记'!$A$2:$A$201,E42)&lt;&gt;1),"裁决任务ID无效",IF(OR(INDEX('任务登记'!$B$2:$B$201,MATCH(D42,'任务登记'!$A$2:$A$201,0))&lt;&gt;B42,INDEX('任务登记'!$B$2:$B$201,MATCH(E42,'任务登记'!$A$2:$A$201,0))&lt;&gt;B42),"裁决任务跨案",IF(OR(INDEX('任务登记'!$F$2:$F$201,MATCH(D42,'任务登记'!$A$2:$A$201,0))&lt;&gt;"A",INDEX('任务登记'!$F$2:$F$201,MATCH(E42,'任务登记'!$A$2:$A$201,0))&lt;&gt;"B"),"裁决角色不符",IF(INDEX('任务登记'!$E$2:$E$201,MATCH(D42,'任务登记'!$A$2:$A$201,0))=INDEX('任务登记'!$E$2:$E$201,MATCH(E42,'任务登记'!$A$2:$A$201,0)),"A与B为同一人",IF(OR(M42=INDEX('任务登记'!$E$2:$E$201,MATCH(D42,'任务登记'!$A$2:$A$201,0)),M42=INDEX('任务登记'!$E$2:$E$201,MATCH(E42,'任务登记'!$A$2:$A$201,0))),"裁决者参与原标注","字段齐备"))))))))))</x:f>
      </x:c>
    </x:row>
    <x:row r="43" ht="3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10" t="str">
        <x:f>IF(COUNTA(A43:P43)=0,"",IF(OR(A43="",B43="",C43="",D43="",E43="",F43="",G43="",H43="",I43="",J43="",K43="",L43="",M43="",N43="",O43=""),"缺必填",IF(COUNTIF($A$2:$A$201,A43)&gt;1,"ID重复",IF(COUNTIF('案件'!$A$2:$A$201,B43)&lt;&gt;1,"案件ID无效",IF(D43=E43,"A与B任务相同",IF(OR(COUNTIF('任务登记'!$A$2:$A$201,D43)&lt;&gt;1,COUNTIF('任务登记'!$A$2:$A$201,E43)&lt;&gt;1),"裁决任务ID无效",IF(OR(INDEX('任务登记'!$B$2:$B$201,MATCH(D43,'任务登记'!$A$2:$A$201,0))&lt;&gt;B43,INDEX('任务登记'!$B$2:$B$201,MATCH(E43,'任务登记'!$A$2:$A$201,0))&lt;&gt;B43),"裁决任务跨案",IF(OR(INDEX('任务登记'!$F$2:$F$201,MATCH(D43,'任务登记'!$A$2:$A$201,0))&lt;&gt;"A",INDEX('任务登记'!$F$2:$F$201,MATCH(E43,'任务登记'!$A$2:$A$201,0))&lt;&gt;"B"),"裁决角色不符",IF(INDEX('任务登记'!$E$2:$E$201,MATCH(D43,'任务登记'!$A$2:$A$201,0))=INDEX('任务登记'!$E$2:$E$201,MATCH(E43,'任务登记'!$A$2:$A$201,0)),"A与B为同一人",IF(OR(M43=INDEX('任务登记'!$E$2:$E$201,MATCH(D43,'任务登记'!$A$2:$A$201,0)),M43=INDEX('任务登记'!$E$2:$E$201,MATCH(E43,'任务登记'!$A$2:$A$201,0))),"裁决者参与原标注","字段齐备"))))))))))</x:f>
      </x:c>
    </x:row>
    <x:row r="44" ht="3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10" t="str">
        <x:f>IF(COUNTA(A44:P44)=0,"",IF(OR(A44="",B44="",C44="",D44="",E44="",F44="",G44="",H44="",I44="",J44="",K44="",L44="",M44="",N44="",O44=""),"缺必填",IF(COUNTIF($A$2:$A$201,A44)&gt;1,"ID重复",IF(COUNTIF('案件'!$A$2:$A$201,B44)&lt;&gt;1,"案件ID无效",IF(D44=E44,"A与B任务相同",IF(OR(COUNTIF('任务登记'!$A$2:$A$201,D44)&lt;&gt;1,COUNTIF('任务登记'!$A$2:$A$201,E44)&lt;&gt;1),"裁决任务ID无效",IF(OR(INDEX('任务登记'!$B$2:$B$201,MATCH(D44,'任务登记'!$A$2:$A$201,0))&lt;&gt;B44,INDEX('任务登记'!$B$2:$B$201,MATCH(E44,'任务登记'!$A$2:$A$201,0))&lt;&gt;B44),"裁决任务跨案",IF(OR(INDEX('任务登记'!$F$2:$F$201,MATCH(D44,'任务登记'!$A$2:$A$201,0))&lt;&gt;"A",INDEX('任务登记'!$F$2:$F$201,MATCH(E44,'任务登记'!$A$2:$A$201,0))&lt;&gt;"B"),"裁决角色不符",IF(INDEX('任务登记'!$E$2:$E$201,MATCH(D44,'任务登记'!$A$2:$A$201,0))=INDEX('任务登记'!$E$2:$E$201,MATCH(E44,'任务登记'!$A$2:$A$201,0)),"A与B为同一人",IF(OR(M44=INDEX('任务登记'!$E$2:$E$201,MATCH(D44,'任务登记'!$A$2:$A$201,0)),M44=INDEX('任务登记'!$E$2:$E$201,MATCH(E44,'任务登记'!$A$2:$A$201,0))),"裁决者参与原标注","字段齐备"))))))))))</x:f>
      </x:c>
    </x:row>
    <x:row r="45" ht="3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10" t="str">
        <x:f>IF(COUNTA(A45:P45)=0,"",IF(OR(A45="",B45="",C45="",D45="",E45="",F45="",G45="",H45="",I45="",J45="",K45="",L45="",M45="",N45="",O45=""),"缺必填",IF(COUNTIF($A$2:$A$201,A45)&gt;1,"ID重复",IF(COUNTIF('案件'!$A$2:$A$201,B45)&lt;&gt;1,"案件ID无效",IF(D45=E45,"A与B任务相同",IF(OR(COUNTIF('任务登记'!$A$2:$A$201,D45)&lt;&gt;1,COUNTIF('任务登记'!$A$2:$A$201,E45)&lt;&gt;1),"裁决任务ID无效",IF(OR(INDEX('任务登记'!$B$2:$B$201,MATCH(D45,'任务登记'!$A$2:$A$201,0))&lt;&gt;B45,INDEX('任务登记'!$B$2:$B$201,MATCH(E45,'任务登记'!$A$2:$A$201,0))&lt;&gt;B45),"裁决任务跨案",IF(OR(INDEX('任务登记'!$F$2:$F$201,MATCH(D45,'任务登记'!$A$2:$A$201,0))&lt;&gt;"A",INDEX('任务登记'!$F$2:$F$201,MATCH(E45,'任务登记'!$A$2:$A$201,0))&lt;&gt;"B"),"裁决角色不符",IF(INDEX('任务登记'!$E$2:$E$201,MATCH(D45,'任务登记'!$A$2:$A$201,0))=INDEX('任务登记'!$E$2:$E$201,MATCH(E45,'任务登记'!$A$2:$A$201,0)),"A与B为同一人",IF(OR(M45=INDEX('任务登记'!$E$2:$E$201,MATCH(D45,'任务登记'!$A$2:$A$201,0)),M45=INDEX('任务登记'!$E$2:$E$201,MATCH(E45,'任务登记'!$A$2:$A$201,0))),"裁决者参与原标注","字段齐备"))))))))))</x:f>
      </x:c>
    </x:row>
    <x:row r="46" ht="3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10" t="str">
        <x:f>IF(COUNTA(A46:P46)=0,"",IF(OR(A46="",B46="",C46="",D46="",E46="",F46="",G46="",H46="",I46="",J46="",K46="",L46="",M46="",N46="",O46=""),"缺必填",IF(COUNTIF($A$2:$A$201,A46)&gt;1,"ID重复",IF(COUNTIF('案件'!$A$2:$A$201,B46)&lt;&gt;1,"案件ID无效",IF(D46=E46,"A与B任务相同",IF(OR(COUNTIF('任务登记'!$A$2:$A$201,D46)&lt;&gt;1,COUNTIF('任务登记'!$A$2:$A$201,E46)&lt;&gt;1),"裁决任务ID无效",IF(OR(INDEX('任务登记'!$B$2:$B$201,MATCH(D46,'任务登记'!$A$2:$A$201,0))&lt;&gt;B46,INDEX('任务登记'!$B$2:$B$201,MATCH(E46,'任务登记'!$A$2:$A$201,0))&lt;&gt;B46),"裁决任务跨案",IF(OR(INDEX('任务登记'!$F$2:$F$201,MATCH(D46,'任务登记'!$A$2:$A$201,0))&lt;&gt;"A",INDEX('任务登记'!$F$2:$F$201,MATCH(E46,'任务登记'!$A$2:$A$201,0))&lt;&gt;"B"),"裁决角色不符",IF(INDEX('任务登记'!$E$2:$E$201,MATCH(D46,'任务登记'!$A$2:$A$201,0))=INDEX('任务登记'!$E$2:$E$201,MATCH(E46,'任务登记'!$A$2:$A$201,0)),"A与B为同一人",IF(OR(M46=INDEX('任务登记'!$E$2:$E$201,MATCH(D46,'任务登记'!$A$2:$A$201,0)),M46=INDEX('任务登记'!$E$2:$E$201,MATCH(E46,'任务登记'!$A$2:$A$201,0))),"裁决者参与原标注","字段齐备"))))))))))</x:f>
      </x:c>
    </x:row>
    <x:row r="47" ht="3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10" t="str">
        <x:f>IF(COUNTA(A47:P47)=0,"",IF(OR(A47="",B47="",C47="",D47="",E47="",F47="",G47="",H47="",I47="",J47="",K47="",L47="",M47="",N47="",O47=""),"缺必填",IF(COUNTIF($A$2:$A$201,A47)&gt;1,"ID重复",IF(COUNTIF('案件'!$A$2:$A$201,B47)&lt;&gt;1,"案件ID无效",IF(D47=E47,"A与B任务相同",IF(OR(COUNTIF('任务登记'!$A$2:$A$201,D47)&lt;&gt;1,COUNTIF('任务登记'!$A$2:$A$201,E47)&lt;&gt;1),"裁决任务ID无效",IF(OR(INDEX('任务登记'!$B$2:$B$201,MATCH(D47,'任务登记'!$A$2:$A$201,0))&lt;&gt;B47,INDEX('任务登记'!$B$2:$B$201,MATCH(E47,'任务登记'!$A$2:$A$201,0))&lt;&gt;B47),"裁决任务跨案",IF(OR(INDEX('任务登记'!$F$2:$F$201,MATCH(D47,'任务登记'!$A$2:$A$201,0))&lt;&gt;"A",INDEX('任务登记'!$F$2:$F$201,MATCH(E47,'任务登记'!$A$2:$A$201,0))&lt;&gt;"B"),"裁决角色不符",IF(INDEX('任务登记'!$E$2:$E$201,MATCH(D47,'任务登记'!$A$2:$A$201,0))=INDEX('任务登记'!$E$2:$E$201,MATCH(E47,'任务登记'!$A$2:$A$201,0)),"A与B为同一人",IF(OR(M47=INDEX('任务登记'!$E$2:$E$201,MATCH(D47,'任务登记'!$A$2:$A$201,0)),M47=INDEX('任务登记'!$E$2:$E$201,MATCH(E47,'任务登记'!$A$2:$A$201,0))),"裁决者参与原标注","字段齐备"))))))))))</x:f>
      </x:c>
    </x:row>
    <x:row r="48" ht="3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10" t="str">
        <x:f>IF(COUNTA(A48:P48)=0,"",IF(OR(A48="",B48="",C48="",D48="",E48="",F48="",G48="",H48="",I48="",J48="",K48="",L48="",M48="",N48="",O48=""),"缺必填",IF(COUNTIF($A$2:$A$201,A48)&gt;1,"ID重复",IF(COUNTIF('案件'!$A$2:$A$201,B48)&lt;&gt;1,"案件ID无效",IF(D48=E48,"A与B任务相同",IF(OR(COUNTIF('任务登记'!$A$2:$A$201,D48)&lt;&gt;1,COUNTIF('任务登记'!$A$2:$A$201,E48)&lt;&gt;1),"裁决任务ID无效",IF(OR(INDEX('任务登记'!$B$2:$B$201,MATCH(D48,'任务登记'!$A$2:$A$201,0))&lt;&gt;B48,INDEX('任务登记'!$B$2:$B$201,MATCH(E48,'任务登记'!$A$2:$A$201,0))&lt;&gt;B48),"裁决任务跨案",IF(OR(INDEX('任务登记'!$F$2:$F$201,MATCH(D48,'任务登记'!$A$2:$A$201,0))&lt;&gt;"A",INDEX('任务登记'!$F$2:$F$201,MATCH(E48,'任务登记'!$A$2:$A$201,0))&lt;&gt;"B"),"裁决角色不符",IF(INDEX('任务登记'!$E$2:$E$201,MATCH(D48,'任务登记'!$A$2:$A$201,0))=INDEX('任务登记'!$E$2:$E$201,MATCH(E48,'任务登记'!$A$2:$A$201,0)),"A与B为同一人",IF(OR(M48=INDEX('任务登记'!$E$2:$E$201,MATCH(D48,'任务登记'!$A$2:$A$201,0)),M48=INDEX('任务登记'!$E$2:$E$201,MATCH(E48,'任务登记'!$A$2:$A$201,0))),"裁决者参与原标注","字段齐备"))))))))))</x:f>
      </x:c>
    </x:row>
    <x:row r="49" ht="3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10" t="str">
        <x:f>IF(COUNTA(A49:P49)=0,"",IF(OR(A49="",B49="",C49="",D49="",E49="",F49="",G49="",H49="",I49="",J49="",K49="",L49="",M49="",N49="",O49=""),"缺必填",IF(COUNTIF($A$2:$A$201,A49)&gt;1,"ID重复",IF(COUNTIF('案件'!$A$2:$A$201,B49)&lt;&gt;1,"案件ID无效",IF(D49=E49,"A与B任务相同",IF(OR(COUNTIF('任务登记'!$A$2:$A$201,D49)&lt;&gt;1,COUNTIF('任务登记'!$A$2:$A$201,E49)&lt;&gt;1),"裁决任务ID无效",IF(OR(INDEX('任务登记'!$B$2:$B$201,MATCH(D49,'任务登记'!$A$2:$A$201,0))&lt;&gt;B49,INDEX('任务登记'!$B$2:$B$201,MATCH(E49,'任务登记'!$A$2:$A$201,0))&lt;&gt;B49),"裁决任务跨案",IF(OR(INDEX('任务登记'!$F$2:$F$201,MATCH(D49,'任务登记'!$A$2:$A$201,0))&lt;&gt;"A",INDEX('任务登记'!$F$2:$F$201,MATCH(E49,'任务登记'!$A$2:$A$201,0))&lt;&gt;"B"),"裁决角色不符",IF(INDEX('任务登记'!$E$2:$E$201,MATCH(D49,'任务登记'!$A$2:$A$201,0))=INDEX('任务登记'!$E$2:$E$201,MATCH(E49,'任务登记'!$A$2:$A$201,0)),"A与B为同一人",IF(OR(M49=INDEX('任务登记'!$E$2:$E$201,MATCH(D49,'任务登记'!$A$2:$A$201,0)),M49=INDEX('任务登记'!$E$2:$E$201,MATCH(E49,'任务登记'!$A$2:$A$201,0))),"裁决者参与原标注","字段齐备"))))))))))</x:f>
      </x:c>
    </x:row>
    <x:row r="50" ht="3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10" t="str">
        <x:f>IF(COUNTA(A50:P50)=0,"",IF(OR(A50="",B50="",C50="",D50="",E50="",F50="",G50="",H50="",I50="",J50="",K50="",L50="",M50="",N50="",O50=""),"缺必填",IF(COUNTIF($A$2:$A$201,A50)&gt;1,"ID重复",IF(COUNTIF('案件'!$A$2:$A$201,B50)&lt;&gt;1,"案件ID无效",IF(D50=E50,"A与B任务相同",IF(OR(COUNTIF('任务登记'!$A$2:$A$201,D50)&lt;&gt;1,COUNTIF('任务登记'!$A$2:$A$201,E50)&lt;&gt;1),"裁决任务ID无效",IF(OR(INDEX('任务登记'!$B$2:$B$201,MATCH(D50,'任务登记'!$A$2:$A$201,0))&lt;&gt;B50,INDEX('任务登记'!$B$2:$B$201,MATCH(E50,'任务登记'!$A$2:$A$201,0))&lt;&gt;B50),"裁决任务跨案",IF(OR(INDEX('任务登记'!$F$2:$F$201,MATCH(D50,'任务登记'!$A$2:$A$201,0))&lt;&gt;"A",INDEX('任务登记'!$F$2:$F$201,MATCH(E50,'任务登记'!$A$2:$A$201,0))&lt;&gt;"B"),"裁决角色不符",IF(INDEX('任务登记'!$E$2:$E$201,MATCH(D50,'任务登记'!$A$2:$A$201,0))=INDEX('任务登记'!$E$2:$E$201,MATCH(E50,'任务登记'!$A$2:$A$201,0)),"A与B为同一人",IF(OR(M50=INDEX('任务登记'!$E$2:$E$201,MATCH(D50,'任务登记'!$A$2:$A$201,0)),M50=INDEX('任务登记'!$E$2:$E$201,MATCH(E50,'任务登记'!$A$2:$A$201,0))),"裁决者参与原标注","字段齐备"))))))))))</x:f>
      </x:c>
    </x:row>
    <x:row r="51" ht="3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10" t="str">
        <x:f>IF(COUNTA(A51:P51)=0,"",IF(OR(A51="",B51="",C51="",D51="",E51="",F51="",G51="",H51="",I51="",J51="",K51="",L51="",M51="",N51="",O51=""),"缺必填",IF(COUNTIF($A$2:$A$201,A51)&gt;1,"ID重复",IF(COUNTIF('案件'!$A$2:$A$201,B51)&lt;&gt;1,"案件ID无效",IF(D51=E51,"A与B任务相同",IF(OR(COUNTIF('任务登记'!$A$2:$A$201,D51)&lt;&gt;1,COUNTIF('任务登记'!$A$2:$A$201,E51)&lt;&gt;1),"裁决任务ID无效",IF(OR(INDEX('任务登记'!$B$2:$B$201,MATCH(D51,'任务登记'!$A$2:$A$201,0))&lt;&gt;B51,INDEX('任务登记'!$B$2:$B$201,MATCH(E51,'任务登记'!$A$2:$A$201,0))&lt;&gt;B51),"裁决任务跨案",IF(OR(INDEX('任务登记'!$F$2:$F$201,MATCH(D51,'任务登记'!$A$2:$A$201,0))&lt;&gt;"A",INDEX('任务登记'!$F$2:$F$201,MATCH(E51,'任务登记'!$A$2:$A$201,0))&lt;&gt;"B"),"裁决角色不符",IF(INDEX('任务登记'!$E$2:$E$201,MATCH(D51,'任务登记'!$A$2:$A$201,0))=INDEX('任务登记'!$E$2:$E$201,MATCH(E51,'任务登记'!$A$2:$A$201,0)),"A与B为同一人",IF(OR(M51=INDEX('任务登记'!$E$2:$E$201,MATCH(D51,'任务登记'!$A$2:$A$201,0)),M51=INDEX('任务登记'!$E$2:$E$201,MATCH(E51,'任务登记'!$A$2:$A$201,0))),"裁决者参与原标注","字段齐备"))))))))))</x:f>
      </x:c>
    </x:row>
    <x:row r="52" ht="3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10" t="str">
        <x:f>IF(COUNTA(A52:P52)=0,"",IF(OR(A52="",B52="",C52="",D52="",E52="",F52="",G52="",H52="",I52="",J52="",K52="",L52="",M52="",N52="",O52=""),"缺必填",IF(COUNTIF($A$2:$A$201,A52)&gt;1,"ID重复",IF(COUNTIF('案件'!$A$2:$A$201,B52)&lt;&gt;1,"案件ID无效",IF(D52=E52,"A与B任务相同",IF(OR(COUNTIF('任务登记'!$A$2:$A$201,D52)&lt;&gt;1,COUNTIF('任务登记'!$A$2:$A$201,E52)&lt;&gt;1),"裁决任务ID无效",IF(OR(INDEX('任务登记'!$B$2:$B$201,MATCH(D52,'任务登记'!$A$2:$A$201,0))&lt;&gt;B52,INDEX('任务登记'!$B$2:$B$201,MATCH(E52,'任务登记'!$A$2:$A$201,0))&lt;&gt;B52),"裁决任务跨案",IF(OR(INDEX('任务登记'!$F$2:$F$201,MATCH(D52,'任务登记'!$A$2:$A$201,0))&lt;&gt;"A",INDEX('任务登记'!$F$2:$F$201,MATCH(E52,'任务登记'!$A$2:$A$201,0))&lt;&gt;"B"),"裁决角色不符",IF(INDEX('任务登记'!$E$2:$E$201,MATCH(D52,'任务登记'!$A$2:$A$201,0))=INDEX('任务登记'!$E$2:$E$201,MATCH(E52,'任务登记'!$A$2:$A$201,0)),"A与B为同一人",IF(OR(M52=INDEX('任务登记'!$E$2:$E$201,MATCH(D52,'任务登记'!$A$2:$A$201,0)),M52=INDEX('任务登记'!$E$2:$E$201,MATCH(E52,'任务登记'!$A$2:$A$201,0))),"裁决者参与原标注","字段齐备"))))))))))</x:f>
      </x:c>
    </x:row>
    <x:row r="53" ht="3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10" t="str">
        <x:f>IF(COUNTA(A53:P53)=0,"",IF(OR(A53="",B53="",C53="",D53="",E53="",F53="",G53="",H53="",I53="",J53="",K53="",L53="",M53="",N53="",O53=""),"缺必填",IF(COUNTIF($A$2:$A$201,A53)&gt;1,"ID重复",IF(COUNTIF('案件'!$A$2:$A$201,B53)&lt;&gt;1,"案件ID无效",IF(D53=E53,"A与B任务相同",IF(OR(COUNTIF('任务登记'!$A$2:$A$201,D53)&lt;&gt;1,COUNTIF('任务登记'!$A$2:$A$201,E53)&lt;&gt;1),"裁决任务ID无效",IF(OR(INDEX('任务登记'!$B$2:$B$201,MATCH(D53,'任务登记'!$A$2:$A$201,0))&lt;&gt;B53,INDEX('任务登记'!$B$2:$B$201,MATCH(E53,'任务登记'!$A$2:$A$201,0))&lt;&gt;B53),"裁决任务跨案",IF(OR(INDEX('任务登记'!$F$2:$F$201,MATCH(D53,'任务登记'!$A$2:$A$201,0))&lt;&gt;"A",INDEX('任务登记'!$F$2:$F$201,MATCH(E53,'任务登记'!$A$2:$A$201,0))&lt;&gt;"B"),"裁决角色不符",IF(INDEX('任务登记'!$E$2:$E$201,MATCH(D53,'任务登记'!$A$2:$A$201,0))=INDEX('任务登记'!$E$2:$E$201,MATCH(E53,'任务登记'!$A$2:$A$201,0)),"A与B为同一人",IF(OR(M53=INDEX('任务登记'!$E$2:$E$201,MATCH(D53,'任务登记'!$A$2:$A$201,0)),M53=INDEX('任务登记'!$E$2:$E$201,MATCH(E53,'任务登记'!$A$2:$A$201,0))),"裁决者参与原标注","字段齐备"))))))))))</x:f>
      </x:c>
    </x:row>
    <x:row r="54" ht="3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10" t="str">
        <x:f>IF(COUNTA(A54:P54)=0,"",IF(OR(A54="",B54="",C54="",D54="",E54="",F54="",G54="",H54="",I54="",J54="",K54="",L54="",M54="",N54="",O54=""),"缺必填",IF(COUNTIF($A$2:$A$201,A54)&gt;1,"ID重复",IF(COUNTIF('案件'!$A$2:$A$201,B54)&lt;&gt;1,"案件ID无效",IF(D54=E54,"A与B任务相同",IF(OR(COUNTIF('任务登记'!$A$2:$A$201,D54)&lt;&gt;1,COUNTIF('任务登记'!$A$2:$A$201,E54)&lt;&gt;1),"裁决任务ID无效",IF(OR(INDEX('任务登记'!$B$2:$B$201,MATCH(D54,'任务登记'!$A$2:$A$201,0))&lt;&gt;B54,INDEX('任务登记'!$B$2:$B$201,MATCH(E54,'任务登记'!$A$2:$A$201,0))&lt;&gt;B54),"裁决任务跨案",IF(OR(INDEX('任务登记'!$F$2:$F$201,MATCH(D54,'任务登记'!$A$2:$A$201,0))&lt;&gt;"A",INDEX('任务登记'!$F$2:$F$201,MATCH(E54,'任务登记'!$A$2:$A$201,0))&lt;&gt;"B"),"裁决角色不符",IF(INDEX('任务登记'!$E$2:$E$201,MATCH(D54,'任务登记'!$A$2:$A$201,0))=INDEX('任务登记'!$E$2:$E$201,MATCH(E54,'任务登记'!$A$2:$A$201,0)),"A与B为同一人",IF(OR(M54=INDEX('任务登记'!$E$2:$E$201,MATCH(D54,'任务登记'!$A$2:$A$201,0)),M54=INDEX('任务登记'!$E$2:$E$201,MATCH(E54,'任务登记'!$A$2:$A$201,0))),"裁决者参与原标注","字段齐备"))))))))))</x:f>
      </x:c>
    </x:row>
    <x:row r="55" ht="3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10" t="str">
        <x:f>IF(COUNTA(A55:P55)=0,"",IF(OR(A55="",B55="",C55="",D55="",E55="",F55="",G55="",H55="",I55="",J55="",K55="",L55="",M55="",N55="",O55=""),"缺必填",IF(COUNTIF($A$2:$A$201,A55)&gt;1,"ID重复",IF(COUNTIF('案件'!$A$2:$A$201,B55)&lt;&gt;1,"案件ID无效",IF(D55=E55,"A与B任务相同",IF(OR(COUNTIF('任务登记'!$A$2:$A$201,D55)&lt;&gt;1,COUNTIF('任务登记'!$A$2:$A$201,E55)&lt;&gt;1),"裁决任务ID无效",IF(OR(INDEX('任务登记'!$B$2:$B$201,MATCH(D55,'任务登记'!$A$2:$A$201,0))&lt;&gt;B55,INDEX('任务登记'!$B$2:$B$201,MATCH(E55,'任务登记'!$A$2:$A$201,0))&lt;&gt;B55),"裁决任务跨案",IF(OR(INDEX('任务登记'!$F$2:$F$201,MATCH(D55,'任务登记'!$A$2:$A$201,0))&lt;&gt;"A",INDEX('任务登记'!$F$2:$F$201,MATCH(E55,'任务登记'!$A$2:$A$201,0))&lt;&gt;"B"),"裁决角色不符",IF(INDEX('任务登记'!$E$2:$E$201,MATCH(D55,'任务登记'!$A$2:$A$201,0))=INDEX('任务登记'!$E$2:$E$201,MATCH(E55,'任务登记'!$A$2:$A$201,0)),"A与B为同一人",IF(OR(M55=INDEX('任务登记'!$E$2:$E$201,MATCH(D55,'任务登记'!$A$2:$A$201,0)),M55=INDEX('任务登记'!$E$2:$E$201,MATCH(E55,'任务登记'!$A$2:$A$201,0))),"裁决者参与原标注","字段齐备"))))))))))</x:f>
      </x:c>
    </x:row>
    <x:row r="56" ht="3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10" t="str">
        <x:f>IF(COUNTA(A56:P56)=0,"",IF(OR(A56="",B56="",C56="",D56="",E56="",F56="",G56="",H56="",I56="",J56="",K56="",L56="",M56="",N56="",O56=""),"缺必填",IF(COUNTIF($A$2:$A$201,A56)&gt;1,"ID重复",IF(COUNTIF('案件'!$A$2:$A$201,B56)&lt;&gt;1,"案件ID无效",IF(D56=E56,"A与B任务相同",IF(OR(COUNTIF('任务登记'!$A$2:$A$201,D56)&lt;&gt;1,COUNTIF('任务登记'!$A$2:$A$201,E56)&lt;&gt;1),"裁决任务ID无效",IF(OR(INDEX('任务登记'!$B$2:$B$201,MATCH(D56,'任务登记'!$A$2:$A$201,0))&lt;&gt;B56,INDEX('任务登记'!$B$2:$B$201,MATCH(E56,'任务登记'!$A$2:$A$201,0))&lt;&gt;B56),"裁决任务跨案",IF(OR(INDEX('任务登记'!$F$2:$F$201,MATCH(D56,'任务登记'!$A$2:$A$201,0))&lt;&gt;"A",INDEX('任务登记'!$F$2:$F$201,MATCH(E56,'任务登记'!$A$2:$A$201,0))&lt;&gt;"B"),"裁决角色不符",IF(INDEX('任务登记'!$E$2:$E$201,MATCH(D56,'任务登记'!$A$2:$A$201,0))=INDEX('任务登记'!$E$2:$E$201,MATCH(E56,'任务登记'!$A$2:$A$201,0)),"A与B为同一人",IF(OR(M56=INDEX('任务登记'!$E$2:$E$201,MATCH(D56,'任务登记'!$A$2:$A$201,0)),M56=INDEX('任务登记'!$E$2:$E$201,MATCH(E56,'任务登记'!$A$2:$A$201,0))),"裁决者参与原标注","字段齐备"))))))))))</x:f>
      </x:c>
    </x:row>
    <x:row r="57" ht="3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10" t="str">
        <x:f>IF(COUNTA(A57:P57)=0,"",IF(OR(A57="",B57="",C57="",D57="",E57="",F57="",G57="",H57="",I57="",J57="",K57="",L57="",M57="",N57="",O57=""),"缺必填",IF(COUNTIF($A$2:$A$201,A57)&gt;1,"ID重复",IF(COUNTIF('案件'!$A$2:$A$201,B57)&lt;&gt;1,"案件ID无效",IF(D57=E57,"A与B任务相同",IF(OR(COUNTIF('任务登记'!$A$2:$A$201,D57)&lt;&gt;1,COUNTIF('任务登记'!$A$2:$A$201,E57)&lt;&gt;1),"裁决任务ID无效",IF(OR(INDEX('任务登记'!$B$2:$B$201,MATCH(D57,'任务登记'!$A$2:$A$201,0))&lt;&gt;B57,INDEX('任务登记'!$B$2:$B$201,MATCH(E57,'任务登记'!$A$2:$A$201,0))&lt;&gt;B57),"裁决任务跨案",IF(OR(INDEX('任务登记'!$F$2:$F$201,MATCH(D57,'任务登记'!$A$2:$A$201,0))&lt;&gt;"A",INDEX('任务登记'!$F$2:$F$201,MATCH(E57,'任务登记'!$A$2:$A$201,0))&lt;&gt;"B"),"裁决角色不符",IF(INDEX('任务登记'!$E$2:$E$201,MATCH(D57,'任务登记'!$A$2:$A$201,0))=INDEX('任务登记'!$E$2:$E$201,MATCH(E57,'任务登记'!$A$2:$A$201,0)),"A与B为同一人",IF(OR(M57=INDEX('任务登记'!$E$2:$E$201,MATCH(D57,'任务登记'!$A$2:$A$201,0)),M57=INDEX('任务登记'!$E$2:$E$201,MATCH(E57,'任务登记'!$A$2:$A$201,0))),"裁决者参与原标注","字段齐备"))))))))))</x:f>
      </x:c>
    </x:row>
    <x:row r="58" ht="3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10" t="str">
        <x:f>IF(COUNTA(A58:P58)=0,"",IF(OR(A58="",B58="",C58="",D58="",E58="",F58="",G58="",H58="",I58="",J58="",K58="",L58="",M58="",N58="",O58=""),"缺必填",IF(COUNTIF($A$2:$A$201,A58)&gt;1,"ID重复",IF(COUNTIF('案件'!$A$2:$A$201,B58)&lt;&gt;1,"案件ID无效",IF(D58=E58,"A与B任务相同",IF(OR(COUNTIF('任务登记'!$A$2:$A$201,D58)&lt;&gt;1,COUNTIF('任务登记'!$A$2:$A$201,E58)&lt;&gt;1),"裁决任务ID无效",IF(OR(INDEX('任务登记'!$B$2:$B$201,MATCH(D58,'任务登记'!$A$2:$A$201,0))&lt;&gt;B58,INDEX('任务登记'!$B$2:$B$201,MATCH(E58,'任务登记'!$A$2:$A$201,0))&lt;&gt;B58),"裁决任务跨案",IF(OR(INDEX('任务登记'!$F$2:$F$201,MATCH(D58,'任务登记'!$A$2:$A$201,0))&lt;&gt;"A",INDEX('任务登记'!$F$2:$F$201,MATCH(E58,'任务登记'!$A$2:$A$201,0))&lt;&gt;"B"),"裁决角色不符",IF(INDEX('任务登记'!$E$2:$E$201,MATCH(D58,'任务登记'!$A$2:$A$201,0))=INDEX('任务登记'!$E$2:$E$201,MATCH(E58,'任务登记'!$A$2:$A$201,0)),"A与B为同一人",IF(OR(M58=INDEX('任务登记'!$E$2:$E$201,MATCH(D58,'任务登记'!$A$2:$A$201,0)),M58=INDEX('任务登记'!$E$2:$E$201,MATCH(E58,'任务登记'!$A$2:$A$201,0))),"裁决者参与原标注","字段齐备"))))))))))</x:f>
      </x:c>
    </x:row>
    <x:row r="59" ht="3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10" t="str">
        <x:f>IF(COUNTA(A59:P59)=0,"",IF(OR(A59="",B59="",C59="",D59="",E59="",F59="",G59="",H59="",I59="",J59="",K59="",L59="",M59="",N59="",O59=""),"缺必填",IF(COUNTIF($A$2:$A$201,A59)&gt;1,"ID重复",IF(COUNTIF('案件'!$A$2:$A$201,B59)&lt;&gt;1,"案件ID无效",IF(D59=E59,"A与B任务相同",IF(OR(COUNTIF('任务登记'!$A$2:$A$201,D59)&lt;&gt;1,COUNTIF('任务登记'!$A$2:$A$201,E59)&lt;&gt;1),"裁决任务ID无效",IF(OR(INDEX('任务登记'!$B$2:$B$201,MATCH(D59,'任务登记'!$A$2:$A$201,0))&lt;&gt;B59,INDEX('任务登记'!$B$2:$B$201,MATCH(E59,'任务登记'!$A$2:$A$201,0))&lt;&gt;B59),"裁决任务跨案",IF(OR(INDEX('任务登记'!$F$2:$F$201,MATCH(D59,'任务登记'!$A$2:$A$201,0))&lt;&gt;"A",INDEX('任务登记'!$F$2:$F$201,MATCH(E59,'任务登记'!$A$2:$A$201,0))&lt;&gt;"B"),"裁决角色不符",IF(INDEX('任务登记'!$E$2:$E$201,MATCH(D59,'任务登记'!$A$2:$A$201,0))=INDEX('任务登记'!$E$2:$E$201,MATCH(E59,'任务登记'!$A$2:$A$201,0)),"A与B为同一人",IF(OR(M59=INDEX('任务登记'!$E$2:$E$201,MATCH(D59,'任务登记'!$A$2:$A$201,0)),M59=INDEX('任务登记'!$E$2:$E$201,MATCH(E59,'任务登记'!$A$2:$A$201,0))),"裁决者参与原标注","字段齐备"))))))))))</x:f>
      </x:c>
    </x:row>
    <x:row r="60" ht="3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10" t="str">
        <x:f>IF(COUNTA(A60:P60)=0,"",IF(OR(A60="",B60="",C60="",D60="",E60="",F60="",G60="",H60="",I60="",J60="",K60="",L60="",M60="",N60="",O60=""),"缺必填",IF(COUNTIF($A$2:$A$201,A60)&gt;1,"ID重复",IF(COUNTIF('案件'!$A$2:$A$201,B60)&lt;&gt;1,"案件ID无效",IF(D60=E60,"A与B任务相同",IF(OR(COUNTIF('任务登记'!$A$2:$A$201,D60)&lt;&gt;1,COUNTIF('任务登记'!$A$2:$A$201,E60)&lt;&gt;1),"裁决任务ID无效",IF(OR(INDEX('任务登记'!$B$2:$B$201,MATCH(D60,'任务登记'!$A$2:$A$201,0))&lt;&gt;B60,INDEX('任务登记'!$B$2:$B$201,MATCH(E60,'任务登记'!$A$2:$A$201,0))&lt;&gt;B60),"裁决任务跨案",IF(OR(INDEX('任务登记'!$F$2:$F$201,MATCH(D60,'任务登记'!$A$2:$A$201,0))&lt;&gt;"A",INDEX('任务登记'!$F$2:$F$201,MATCH(E60,'任务登记'!$A$2:$A$201,0))&lt;&gt;"B"),"裁决角色不符",IF(INDEX('任务登记'!$E$2:$E$201,MATCH(D60,'任务登记'!$A$2:$A$201,0))=INDEX('任务登记'!$E$2:$E$201,MATCH(E60,'任务登记'!$A$2:$A$201,0)),"A与B为同一人",IF(OR(M60=INDEX('任务登记'!$E$2:$E$201,MATCH(D60,'任务登记'!$A$2:$A$201,0)),M60=INDEX('任务登记'!$E$2:$E$201,MATCH(E60,'任务登记'!$A$2:$A$201,0))),"裁决者参与原标注","字段齐备"))))))))))</x:f>
      </x:c>
    </x:row>
    <x:row r="61" ht="3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10" t="str">
        <x:f>IF(COUNTA(A61:P61)=0,"",IF(OR(A61="",B61="",C61="",D61="",E61="",F61="",G61="",H61="",I61="",J61="",K61="",L61="",M61="",N61="",O61=""),"缺必填",IF(COUNTIF($A$2:$A$201,A61)&gt;1,"ID重复",IF(COUNTIF('案件'!$A$2:$A$201,B61)&lt;&gt;1,"案件ID无效",IF(D61=E61,"A与B任务相同",IF(OR(COUNTIF('任务登记'!$A$2:$A$201,D61)&lt;&gt;1,COUNTIF('任务登记'!$A$2:$A$201,E61)&lt;&gt;1),"裁决任务ID无效",IF(OR(INDEX('任务登记'!$B$2:$B$201,MATCH(D61,'任务登记'!$A$2:$A$201,0))&lt;&gt;B61,INDEX('任务登记'!$B$2:$B$201,MATCH(E61,'任务登记'!$A$2:$A$201,0))&lt;&gt;B61),"裁决任务跨案",IF(OR(INDEX('任务登记'!$F$2:$F$201,MATCH(D61,'任务登记'!$A$2:$A$201,0))&lt;&gt;"A",INDEX('任务登记'!$F$2:$F$201,MATCH(E61,'任务登记'!$A$2:$A$201,0))&lt;&gt;"B"),"裁决角色不符",IF(INDEX('任务登记'!$E$2:$E$201,MATCH(D61,'任务登记'!$A$2:$A$201,0))=INDEX('任务登记'!$E$2:$E$201,MATCH(E61,'任务登记'!$A$2:$A$201,0)),"A与B为同一人",IF(OR(M61=INDEX('任务登记'!$E$2:$E$201,MATCH(D61,'任务登记'!$A$2:$A$201,0)),M61=INDEX('任务登记'!$E$2:$E$201,MATCH(E61,'任务登记'!$A$2:$A$201,0))),"裁决者参与原标注","字段齐备"))))))))))</x:f>
      </x:c>
    </x:row>
    <x:row r="62" ht="3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10" t="str">
        <x:f>IF(COUNTA(A62:P62)=0,"",IF(OR(A62="",B62="",C62="",D62="",E62="",F62="",G62="",H62="",I62="",J62="",K62="",L62="",M62="",N62="",O62=""),"缺必填",IF(COUNTIF($A$2:$A$201,A62)&gt;1,"ID重复",IF(COUNTIF('案件'!$A$2:$A$201,B62)&lt;&gt;1,"案件ID无效",IF(D62=E62,"A与B任务相同",IF(OR(COUNTIF('任务登记'!$A$2:$A$201,D62)&lt;&gt;1,COUNTIF('任务登记'!$A$2:$A$201,E62)&lt;&gt;1),"裁决任务ID无效",IF(OR(INDEX('任务登记'!$B$2:$B$201,MATCH(D62,'任务登记'!$A$2:$A$201,0))&lt;&gt;B62,INDEX('任务登记'!$B$2:$B$201,MATCH(E62,'任务登记'!$A$2:$A$201,0))&lt;&gt;B62),"裁决任务跨案",IF(OR(INDEX('任务登记'!$F$2:$F$201,MATCH(D62,'任务登记'!$A$2:$A$201,0))&lt;&gt;"A",INDEX('任务登记'!$F$2:$F$201,MATCH(E62,'任务登记'!$A$2:$A$201,0))&lt;&gt;"B"),"裁决角色不符",IF(INDEX('任务登记'!$E$2:$E$201,MATCH(D62,'任务登记'!$A$2:$A$201,0))=INDEX('任务登记'!$E$2:$E$201,MATCH(E62,'任务登记'!$A$2:$A$201,0)),"A与B为同一人",IF(OR(M62=INDEX('任务登记'!$E$2:$E$201,MATCH(D62,'任务登记'!$A$2:$A$201,0)),M62=INDEX('任务登记'!$E$2:$E$201,MATCH(E62,'任务登记'!$A$2:$A$201,0))),"裁决者参与原标注","字段齐备"))))))))))</x:f>
      </x:c>
    </x:row>
    <x:row r="63" ht="3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10" t="str">
        <x:f>IF(COUNTA(A63:P63)=0,"",IF(OR(A63="",B63="",C63="",D63="",E63="",F63="",G63="",H63="",I63="",J63="",K63="",L63="",M63="",N63="",O63=""),"缺必填",IF(COUNTIF($A$2:$A$201,A63)&gt;1,"ID重复",IF(COUNTIF('案件'!$A$2:$A$201,B63)&lt;&gt;1,"案件ID无效",IF(D63=E63,"A与B任务相同",IF(OR(COUNTIF('任务登记'!$A$2:$A$201,D63)&lt;&gt;1,COUNTIF('任务登记'!$A$2:$A$201,E63)&lt;&gt;1),"裁决任务ID无效",IF(OR(INDEX('任务登记'!$B$2:$B$201,MATCH(D63,'任务登记'!$A$2:$A$201,0))&lt;&gt;B63,INDEX('任务登记'!$B$2:$B$201,MATCH(E63,'任务登记'!$A$2:$A$201,0))&lt;&gt;B63),"裁决任务跨案",IF(OR(INDEX('任务登记'!$F$2:$F$201,MATCH(D63,'任务登记'!$A$2:$A$201,0))&lt;&gt;"A",INDEX('任务登记'!$F$2:$F$201,MATCH(E63,'任务登记'!$A$2:$A$201,0))&lt;&gt;"B"),"裁决角色不符",IF(INDEX('任务登记'!$E$2:$E$201,MATCH(D63,'任务登记'!$A$2:$A$201,0))=INDEX('任务登记'!$E$2:$E$201,MATCH(E63,'任务登记'!$A$2:$A$201,0)),"A与B为同一人",IF(OR(M63=INDEX('任务登记'!$E$2:$E$201,MATCH(D63,'任务登记'!$A$2:$A$201,0)),M63=INDEX('任务登记'!$E$2:$E$201,MATCH(E63,'任务登记'!$A$2:$A$201,0))),"裁决者参与原标注","字段齐备"))))))))))</x:f>
      </x:c>
    </x:row>
    <x:row r="64" ht="3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10" t="str">
        <x:f>IF(COUNTA(A64:P64)=0,"",IF(OR(A64="",B64="",C64="",D64="",E64="",F64="",G64="",H64="",I64="",J64="",K64="",L64="",M64="",N64="",O64=""),"缺必填",IF(COUNTIF($A$2:$A$201,A64)&gt;1,"ID重复",IF(COUNTIF('案件'!$A$2:$A$201,B64)&lt;&gt;1,"案件ID无效",IF(D64=E64,"A与B任务相同",IF(OR(COUNTIF('任务登记'!$A$2:$A$201,D64)&lt;&gt;1,COUNTIF('任务登记'!$A$2:$A$201,E64)&lt;&gt;1),"裁决任务ID无效",IF(OR(INDEX('任务登记'!$B$2:$B$201,MATCH(D64,'任务登记'!$A$2:$A$201,0))&lt;&gt;B64,INDEX('任务登记'!$B$2:$B$201,MATCH(E64,'任务登记'!$A$2:$A$201,0))&lt;&gt;B64),"裁决任务跨案",IF(OR(INDEX('任务登记'!$F$2:$F$201,MATCH(D64,'任务登记'!$A$2:$A$201,0))&lt;&gt;"A",INDEX('任务登记'!$F$2:$F$201,MATCH(E64,'任务登记'!$A$2:$A$201,0))&lt;&gt;"B"),"裁决角色不符",IF(INDEX('任务登记'!$E$2:$E$201,MATCH(D64,'任务登记'!$A$2:$A$201,0))=INDEX('任务登记'!$E$2:$E$201,MATCH(E64,'任务登记'!$A$2:$A$201,0)),"A与B为同一人",IF(OR(M64=INDEX('任务登记'!$E$2:$E$201,MATCH(D64,'任务登记'!$A$2:$A$201,0)),M64=INDEX('任务登记'!$E$2:$E$201,MATCH(E64,'任务登记'!$A$2:$A$201,0))),"裁决者参与原标注","字段齐备"))))))))))</x:f>
      </x:c>
    </x:row>
    <x:row r="65" ht="3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10" t="str">
        <x:f>IF(COUNTA(A65:P65)=0,"",IF(OR(A65="",B65="",C65="",D65="",E65="",F65="",G65="",H65="",I65="",J65="",K65="",L65="",M65="",N65="",O65=""),"缺必填",IF(COUNTIF($A$2:$A$201,A65)&gt;1,"ID重复",IF(COUNTIF('案件'!$A$2:$A$201,B65)&lt;&gt;1,"案件ID无效",IF(D65=E65,"A与B任务相同",IF(OR(COUNTIF('任务登记'!$A$2:$A$201,D65)&lt;&gt;1,COUNTIF('任务登记'!$A$2:$A$201,E65)&lt;&gt;1),"裁决任务ID无效",IF(OR(INDEX('任务登记'!$B$2:$B$201,MATCH(D65,'任务登记'!$A$2:$A$201,0))&lt;&gt;B65,INDEX('任务登记'!$B$2:$B$201,MATCH(E65,'任务登记'!$A$2:$A$201,0))&lt;&gt;B65),"裁决任务跨案",IF(OR(INDEX('任务登记'!$F$2:$F$201,MATCH(D65,'任务登记'!$A$2:$A$201,0))&lt;&gt;"A",INDEX('任务登记'!$F$2:$F$201,MATCH(E65,'任务登记'!$A$2:$A$201,0))&lt;&gt;"B"),"裁决角色不符",IF(INDEX('任务登记'!$E$2:$E$201,MATCH(D65,'任务登记'!$A$2:$A$201,0))=INDEX('任务登记'!$E$2:$E$201,MATCH(E65,'任务登记'!$A$2:$A$201,0)),"A与B为同一人",IF(OR(M65=INDEX('任务登记'!$E$2:$E$201,MATCH(D65,'任务登记'!$A$2:$A$201,0)),M65=INDEX('任务登记'!$E$2:$E$201,MATCH(E65,'任务登记'!$A$2:$A$201,0))),"裁决者参与原标注","字段齐备"))))))))))</x:f>
      </x:c>
    </x:row>
    <x:row r="66" ht="3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10" t="str">
        <x:f>IF(COUNTA(A66:P66)=0,"",IF(OR(A66="",B66="",C66="",D66="",E66="",F66="",G66="",H66="",I66="",J66="",K66="",L66="",M66="",N66="",O66=""),"缺必填",IF(COUNTIF($A$2:$A$201,A66)&gt;1,"ID重复",IF(COUNTIF('案件'!$A$2:$A$201,B66)&lt;&gt;1,"案件ID无效",IF(D66=E66,"A与B任务相同",IF(OR(COUNTIF('任务登记'!$A$2:$A$201,D66)&lt;&gt;1,COUNTIF('任务登记'!$A$2:$A$201,E66)&lt;&gt;1),"裁决任务ID无效",IF(OR(INDEX('任务登记'!$B$2:$B$201,MATCH(D66,'任务登记'!$A$2:$A$201,0))&lt;&gt;B66,INDEX('任务登记'!$B$2:$B$201,MATCH(E66,'任务登记'!$A$2:$A$201,0))&lt;&gt;B66),"裁决任务跨案",IF(OR(INDEX('任务登记'!$F$2:$F$201,MATCH(D66,'任务登记'!$A$2:$A$201,0))&lt;&gt;"A",INDEX('任务登记'!$F$2:$F$201,MATCH(E66,'任务登记'!$A$2:$A$201,0))&lt;&gt;"B"),"裁决角色不符",IF(INDEX('任务登记'!$E$2:$E$201,MATCH(D66,'任务登记'!$A$2:$A$201,0))=INDEX('任务登记'!$E$2:$E$201,MATCH(E66,'任务登记'!$A$2:$A$201,0)),"A与B为同一人",IF(OR(M66=INDEX('任务登记'!$E$2:$E$201,MATCH(D66,'任务登记'!$A$2:$A$201,0)),M66=INDEX('任务登记'!$E$2:$E$201,MATCH(E66,'任务登记'!$A$2:$A$201,0))),"裁决者参与原标注","字段齐备"))))))))))</x:f>
      </x:c>
    </x:row>
    <x:row r="67" ht="3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10" t="str">
        <x:f>IF(COUNTA(A67:P67)=0,"",IF(OR(A67="",B67="",C67="",D67="",E67="",F67="",G67="",H67="",I67="",J67="",K67="",L67="",M67="",N67="",O67=""),"缺必填",IF(COUNTIF($A$2:$A$201,A67)&gt;1,"ID重复",IF(COUNTIF('案件'!$A$2:$A$201,B67)&lt;&gt;1,"案件ID无效",IF(D67=E67,"A与B任务相同",IF(OR(COUNTIF('任务登记'!$A$2:$A$201,D67)&lt;&gt;1,COUNTIF('任务登记'!$A$2:$A$201,E67)&lt;&gt;1),"裁决任务ID无效",IF(OR(INDEX('任务登记'!$B$2:$B$201,MATCH(D67,'任务登记'!$A$2:$A$201,0))&lt;&gt;B67,INDEX('任务登记'!$B$2:$B$201,MATCH(E67,'任务登记'!$A$2:$A$201,0))&lt;&gt;B67),"裁决任务跨案",IF(OR(INDEX('任务登记'!$F$2:$F$201,MATCH(D67,'任务登记'!$A$2:$A$201,0))&lt;&gt;"A",INDEX('任务登记'!$F$2:$F$201,MATCH(E67,'任务登记'!$A$2:$A$201,0))&lt;&gt;"B"),"裁决角色不符",IF(INDEX('任务登记'!$E$2:$E$201,MATCH(D67,'任务登记'!$A$2:$A$201,0))=INDEX('任务登记'!$E$2:$E$201,MATCH(E67,'任务登记'!$A$2:$A$201,0)),"A与B为同一人",IF(OR(M67=INDEX('任务登记'!$E$2:$E$201,MATCH(D67,'任务登记'!$A$2:$A$201,0)),M67=INDEX('任务登记'!$E$2:$E$201,MATCH(E67,'任务登记'!$A$2:$A$201,0))),"裁决者参与原标注","字段齐备"))))))))))</x:f>
      </x:c>
    </x:row>
    <x:row r="68" ht="3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10" t="str">
        <x:f>IF(COUNTA(A68:P68)=0,"",IF(OR(A68="",B68="",C68="",D68="",E68="",F68="",G68="",H68="",I68="",J68="",K68="",L68="",M68="",N68="",O68=""),"缺必填",IF(COUNTIF($A$2:$A$201,A68)&gt;1,"ID重复",IF(COUNTIF('案件'!$A$2:$A$201,B68)&lt;&gt;1,"案件ID无效",IF(D68=E68,"A与B任务相同",IF(OR(COUNTIF('任务登记'!$A$2:$A$201,D68)&lt;&gt;1,COUNTIF('任务登记'!$A$2:$A$201,E68)&lt;&gt;1),"裁决任务ID无效",IF(OR(INDEX('任务登记'!$B$2:$B$201,MATCH(D68,'任务登记'!$A$2:$A$201,0))&lt;&gt;B68,INDEX('任务登记'!$B$2:$B$201,MATCH(E68,'任务登记'!$A$2:$A$201,0))&lt;&gt;B68),"裁决任务跨案",IF(OR(INDEX('任务登记'!$F$2:$F$201,MATCH(D68,'任务登记'!$A$2:$A$201,0))&lt;&gt;"A",INDEX('任务登记'!$F$2:$F$201,MATCH(E68,'任务登记'!$A$2:$A$201,0))&lt;&gt;"B"),"裁决角色不符",IF(INDEX('任务登记'!$E$2:$E$201,MATCH(D68,'任务登记'!$A$2:$A$201,0))=INDEX('任务登记'!$E$2:$E$201,MATCH(E68,'任务登记'!$A$2:$A$201,0)),"A与B为同一人",IF(OR(M68=INDEX('任务登记'!$E$2:$E$201,MATCH(D68,'任务登记'!$A$2:$A$201,0)),M68=INDEX('任务登记'!$E$2:$E$201,MATCH(E68,'任务登记'!$A$2:$A$201,0))),"裁决者参与原标注","字段齐备"))))))))))</x:f>
      </x:c>
    </x:row>
    <x:row r="69" ht="3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10" t="str">
        <x:f>IF(COUNTA(A69:P69)=0,"",IF(OR(A69="",B69="",C69="",D69="",E69="",F69="",G69="",H69="",I69="",J69="",K69="",L69="",M69="",N69="",O69=""),"缺必填",IF(COUNTIF($A$2:$A$201,A69)&gt;1,"ID重复",IF(COUNTIF('案件'!$A$2:$A$201,B69)&lt;&gt;1,"案件ID无效",IF(D69=E69,"A与B任务相同",IF(OR(COUNTIF('任务登记'!$A$2:$A$201,D69)&lt;&gt;1,COUNTIF('任务登记'!$A$2:$A$201,E69)&lt;&gt;1),"裁决任务ID无效",IF(OR(INDEX('任务登记'!$B$2:$B$201,MATCH(D69,'任务登记'!$A$2:$A$201,0))&lt;&gt;B69,INDEX('任务登记'!$B$2:$B$201,MATCH(E69,'任务登记'!$A$2:$A$201,0))&lt;&gt;B69),"裁决任务跨案",IF(OR(INDEX('任务登记'!$F$2:$F$201,MATCH(D69,'任务登记'!$A$2:$A$201,0))&lt;&gt;"A",INDEX('任务登记'!$F$2:$F$201,MATCH(E69,'任务登记'!$A$2:$A$201,0))&lt;&gt;"B"),"裁决角色不符",IF(INDEX('任务登记'!$E$2:$E$201,MATCH(D69,'任务登记'!$A$2:$A$201,0))=INDEX('任务登记'!$E$2:$E$201,MATCH(E69,'任务登记'!$A$2:$A$201,0)),"A与B为同一人",IF(OR(M69=INDEX('任务登记'!$E$2:$E$201,MATCH(D69,'任务登记'!$A$2:$A$201,0)),M69=INDEX('任务登记'!$E$2:$E$201,MATCH(E69,'任务登记'!$A$2:$A$201,0))),"裁决者参与原标注","字段齐备"))))))))))</x:f>
      </x:c>
    </x:row>
    <x:row r="70" ht="3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10" t="str">
        <x:f>IF(COUNTA(A70:P70)=0,"",IF(OR(A70="",B70="",C70="",D70="",E70="",F70="",G70="",H70="",I70="",J70="",K70="",L70="",M70="",N70="",O70=""),"缺必填",IF(COUNTIF($A$2:$A$201,A70)&gt;1,"ID重复",IF(COUNTIF('案件'!$A$2:$A$201,B70)&lt;&gt;1,"案件ID无效",IF(D70=E70,"A与B任务相同",IF(OR(COUNTIF('任务登记'!$A$2:$A$201,D70)&lt;&gt;1,COUNTIF('任务登记'!$A$2:$A$201,E70)&lt;&gt;1),"裁决任务ID无效",IF(OR(INDEX('任务登记'!$B$2:$B$201,MATCH(D70,'任务登记'!$A$2:$A$201,0))&lt;&gt;B70,INDEX('任务登记'!$B$2:$B$201,MATCH(E70,'任务登记'!$A$2:$A$201,0))&lt;&gt;B70),"裁决任务跨案",IF(OR(INDEX('任务登记'!$F$2:$F$201,MATCH(D70,'任务登记'!$A$2:$A$201,0))&lt;&gt;"A",INDEX('任务登记'!$F$2:$F$201,MATCH(E70,'任务登记'!$A$2:$A$201,0))&lt;&gt;"B"),"裁决角色不符",IF(INDEX('任务登记'!$E$2:$E$201,MATCH(D70,'任务登记'!$A$2:$A$201,0))=INDEX('任务登记'!$E$2:$E$201,MATCH(E70,'任务登记'!$A$2:$A$201,0)),"A与B为同一人",IF(OR(M70=INDEX('任务登记'!$E$2:$E$201,MATCH(D70,'任务登记'!$A$2:$A$201,0)),M70=INDEX('任务登记'!$E$2:$E$201,MATCH(E70,'任务登记'!$A$2:$A$201,0))),"裁决者参与原标注","字段齐备"))))))))))</x:f>
      </x:c>
    </x:row>
    <x:row r="71" ht="3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10" t="str">
        <x:f>IF(COUNTA(A71:P71)=0,"",IF(OR(A71="",B71="",C71="",D71="",E71="",F71="",G71="",H71="",I71="",J71="",K71="",L71="",M71="",N71="",O71=""),"缺必填",IF(COUNTIF($A$2:$A$201,A71)&gt;1,"ID重复",IF(COUNTIF('案件'!$A$2:$A$201,B71)&lt;&gt;1,"案件ID无效",IF(D71=E71,"A与B任务相同",IF(OR(COUNTIF('任务登记'!$A$2:$A$201,D71)&lt;&gt;1,COUNTIF('任务登记'!$A$2:$A$201,E71)&lt;&gt;1),"裁决任务ID无效",IF(OR(INDEX('任务登记'!$B$2:$B$201,MATCH(D71,'任务登记'!$A$2:$A$201,0))&lt;&gt;B71,INDEX('任务登记'!$B$2:$B$201,MATCH(E71,'任务登记'!$A$2:$A$201,0))&lt;&gt;B71),"裁决任务跨案",IF(OR(INDEX('任务登记'!$F$2:$F$201,MATCH(D71,'任务登记'!$A$2:$A$201,0))&lt;&gt;"A",INDEX('任务登记'!$F$2:$F$201,MATCH(E71,'任务登记'!$A$2:$A$201,0))&lt;&gt;"B"),"裁决角色不符",IF(INDEX('任务登记'!$E$2:$E$201,MATCH(D71,'任务登记'!$A$2:$A$201,0))=INDEX('任务登记'!$E$2:$E$201,MATCH(E71,'任务登记'!$A$2:$A$201,0)),"A与B为同一人",IF(OR(M71=INDEX('任务登记'!$E$2:$E$201,MATCH(D71,'任务登记'!$A$2:$A$201,0)),M71=INDEX('任务登记'!$E$2:$E$201,MATCH(E71,'任务登记'!$A$2:$A$201,0))),"裁决者参与原标注","字段齐备"))))))))))</x:f>
      </x:c>
    </x:row>
    <x:row r="72" ht="3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10" t="str">
        <x:f>IF(COUNTA(A72:P72)=0,"",IF(OR(A72="",B72="",C72="",D72="",E72="",F72="",G72="",H72="",I72="",J72="",K72="",L72="",M72="",N72="",O72=""),"缺必填",IF(COUNTIF($A$2:$A$201,A72)&gt;1,"ID重复",IF(COUNTIF('案件'!$A$2:$A$201,B72)&lt;&gt;1,"案件ID无效",IF(D72=E72,"A与B任务相同",IF(OR(COUNTIF('任务登记'!$A$2:$A$201,D72)&lt;&gt;1,COUNTIF('任务登记'!$A$2:$A$201,E72)&lt;&gt;1),"裁决任务ID无效",IF(OR(INDEX('任务登记'!$B$2:$B$201,MATCH(D72,'任务登记'!$A$2:$A$201,0))&lt;&gt;B72,INDEX('任务登记'!$B$2:$B$201,MATCH(E72,'任务登记'!$A$2:$A$201,0))&lt;&gt;B72),"裁决任务跨案",IF(OR(INDEX('任务登记'!$F$2:$F$201,MATCH(D72,'任务登记'!$A$2:$A$201,0))&lt;&gt;"A",INDEX('任务登记'!$F$2:$F$201,MATCH(E72,'任务登记'!$A$2:$A$201,0))&lt;&gt;"B"),"裁决角色不符",IF(INDEX('任务登记'!$E$2:$E$201,MATCH(D72,'任务登记'!$A$2:$A$201,0))=INDEX('任务登记'!$E$2:$E$201,MATCH(E72,'任务登记'!$A$2:$A$201,0)),"A与B为同一人",IF(OR(M72=INDEX('任务登记'!$E$2:$E$201,MATCH(D72,'任务登记'!$A$2:$A$201,0)),M72=INDEX('任务登记'!$E$2:$E$201,MATCH(E72,'任务登记'!$A$2:$A$201,0))),"裁决者参与原标注","字段齐备"))))))))))</x:f>
      </x:c>
    </x:row>
    <x:row r="73" ht="3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10" t="str">
        <x:f>IF(COUNTA(A73:P73)=0,"",IF(OR(A73="",B73="",C73="",D73="",E73="",F73="",G73="",H73="",I73="",J73="",K73="",L73="",M73="",N73="",O73=""),"缺必填",IF(COUNTIF($A$2:$A$201,A73)&gt;1,"ID重复",IF(COUNTIF('案件'!$A$2:$A$201,B73)&lt;&gt;1,"案件ID无效",IF(D73=E73,"A与B任务相同",IF(OR(COUNTIF('任务登记'!$A$2:$A$201,D73)&lt;&gt;1,COUNTIF('任务登记'!$A$2:$A$201,E73)&lt;&gt;1),"裁决任务ID无效",IF(OR(INDEX('任务登记'!$B$2:$B$201,MATCH(D73,'任务登记'!$A$2:$A$201,0))&lt;&gt;B73,INDEX('任务登记'!$B$2:$B$201,MATCH(E73,'任务登记'!$A$2:$A$201,0))&lt;&gt;B73),"裁决任务跨案",IF(OR(INDEX('任务登记'!$F$2:$F$201,MATCH(D73,'任务登记'!$A$2:$A$201,0))&lt;&gt;"A",INDEX('任务登记'!$F$2:$F$201,MATCH(E73,'任务登记'!$A$2:$A$201,0))&lt;&gt;"B"),"裁决角色不符",IF(INDEX('任务登记'!$E$2:$E$201,MATCH(D73,'任务登记'!$A$2:$A$201,0))=INDEX('任务登记'!$E$2:$E$201,MATCH(E73,'任务登记'!$A$2:$A$201,0)),"A与B为同一人",IF(OR(M73=INDEX('任务登记'!$E$2:$E$201,MATCH(D73,'任务登记'!$A$2:$A$201,0)),M73=INDEX('任务登记'!$E$2:$E$201,MATCH(E73,'任务登记'!$A$2:$A$201,0))),"裁决者参与原标注","字段齐备"))))))))))</x:f>
      </x:c>
    </x:row>
    <x:row r="74" ht="3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10" t="str">
        <x:f>IF(COUNTA(A74:P74)=0,"",IF(OR(A74="",B74="",C74="",D74="",E74="",F74="",G74="",H74="",I74="",J74="",K74="",L74="",M74="",N74="",O74=""),"缺必填",IF(COUNTIF($A$2:$A$201,A74)&gt;1,"ID重复",IF(COUNTIF('案件'!$A$2:$A$201,B74)&lt;&gt;1,"案件ID无效",IF(D74=E74,"A与B任务相同",IF(OR(COUNTIF('任务登记'!$A$2:$A$201,D74)&lt;&gt;1,COUNTIF('任务登记'!$A$2:$A$201,E74)&lt;&gt;1),"裁决任务ID无效",IF(OR(INDEX('任务登记'!$B$2:$B$201,MATCH(D74,'任务登记'!$A$2:$A$201,0))&lt;&gt;B74,INDEX('任务登记'!$B$2:$B$201,MATCH(E74,'任务登记'!$A$2:$A$201,0))&lt;&gt;B74),"裁决任务跨案",IF(OR(INDEX('任务登记'!$F$2:$F$201,MATCH(D74,'任务登记'!$A$2:$A$201,0))&lt;&gt;"A",INDEX('任务登记'!$F$2:$F$201,MATCH(E74,'任务登记'!$A$2:$A$201,0))&lt;&gt;"B"),"裁决角色不符",IF(INDEX('任务登记'!$E$2:$E$201,MATCH(D74,'任务登记'!$A$2:$A$201,0))=INDEX('任务登记'!$E$2:$E$201,MATCH(E74,'任务登记'!$A$2:$A$201,0)),"A与B为同一人",IF(OR(M74=INDEX('任务登记'!$E$2:$E$201,MATCH(D74,'任务登记'!$A$2:$A$201,0)),M74=INDEX('任务登记'!$E$2:$E$201,MATCH(E74,'任务登记'!$A$2:$A$201,0))),"裁决者参与原标注","字段齐备"))))))))))</x:f>
      </x:c>
    </x:row>
    <x:row r="75" ht="3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10" t="str">
        <x:f>IF(COUNTA(A75:P75)=0,"",IF(OR(A75="",B75="",C75="",D75="",E75="",F75="",G75="",H75="",I75="",J75="",K75="",L75="",M75="",N75="",O75=""),"缺必填",IF(COUNTIF($A$2:$A$201,A75)&gt;1,"ID重复",IF(COUNTIF('案件'!$A$2:$A$201,B75)&lt;&gt;1,"案件ID无效",IF(D75=E75,"A与B任务相同",IF(OR(COUNTIF('任务登记'!$A$2:$A$201,D75)&lt;&gt;1,COUNTIF('任务登记'!$A$2:$A$201,E75)&lt;&gt;1),"裁决任务ID无效",IF(OR(INDEX('任务登记'!$B$2:$B$201,MATCH(D75,'任务登记'!$A$2:$A$201,0))&lt;&gt;B75,INDEX('任务登记'!$B$2:$B$201,MATCH(E75,'任务登记'!$A$2:$A$201,0))&lt;&gt;B75),"裁决任务跨案",IF(OR(INDEX('任务登记'!$F$2:$F$201,MATCH(D75,'任务登记'!$A$2:$A$201,0))&lt;&gt;"A",INDEX('任务登记'!$F$2:$F$201,MATCH(E75,'任务登记'!$A$2:$A$201,0))&lt;&gt;"B"),"裁决角色不符",IF(INDEX('任务登记'!$E$2:$E$201,MATCH(D75,'任务登记'!$A$2:$A$201,0))=INDEX('任务登记'!$E$2:$E$201,MATCH(E75,'任务登记'!$A$2:$A$201,0)),"A与B为同一人",IF(OR(M75=INDEX('任务登记'!$E$2:$E$201,MATCH(D75,'任务登记'!$A$2:$A$201,0)),M75=INDEX('任务登记'!$E$2:$E$201,MATCH(E75,'任务登记'!$A$2:$A$201,0))),"裁决者参与原标注","字段齐备"))))))))))</x:f>
      </x:c>
    </x:row>
    <x:row r="76" ht="3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10" t="str">
        <x:f>IF(COUNTA(A76:P76)=0,"",IF(OR(A76="",B76="",C76="",D76="",E76="",F76="",G76="",H76="",I76="",J76="",K76="",L76="",M76="",N76="",O76=""),"缺必填",IF(COUNTIF($A$2:$A$201,A76)&gt;1,"ID重复",IF(COUNTIF('案件'!$A$2:$A$201,B76)&lt;&gt;1,"案件ID无效",IF(D76=E76,"A与B任务相同",IF(OR(COUNTIF('任务登记'!$A$2:$A$201,D76)&lt;&gt;1,COUNTIF('任务登记'!$A$2:$A$201,E76)&lt;&gt;1),"裁决任务ID无效",IF(OR(INDEX('任务登记'!$B$2:$B$201,MATCH(D76,'任务登记'!$A$2:$A$201,0))&lt;&gt;B76,INDEX('任务登记'!$B$2:$B$201,MATCH(E76,'任务登记'!$A$2:$A$201,0))&lt;&gt;B76),"裁决任务跨案",IF(OR(INDEX('任务登记'!$F$2:$F$201,MATCH(D76,'任务登记'!$A$2:$A$201,0))&lt;&gt;"A",INDEX('任务登记'!$F$2:$F$201,MATCH(E76,'任务登记'!$A$2:$A$201,0))&lt;&gt;"B"),"裁决角色不符",IF(INDEX('任务登记'!$E$2:$E$201,MATCH(D76,'任务登记'!$A$2:$A$201,0))=INDEX('任务登记'!$E$2:$E$201,MATCH(E76,'任务登记'!$A$2:$A$201,0)),"A与B为同一人",IF(OR(M76=INDEX('任务登记'!$E$2:$E$201,MATCH(D76,'任务登记'!$A$2:$A$201,0)),M76=INDEX('任务登记'!$E$2:$E$201,MATCH(E76,'任务登记'!$A$2:$A$201,0))),"裁决者参与原标注","字段齐备"))))))))))</x:f>
      </x:c>
    </x:row>
    <x:row r="77" ht="3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10" t="str">
        <x:f>IF(COUNTA(A77:P77)=0,"",IF(OR(A77="",B77="",C77="",D77="",E77="",F77="",G77="",H77="",I77="",J77="",K77="",L77="",M77="",N77="",O77=""),"缺必填",IF(COUNTIF($A$2:$A$201,A77)&gt;1,"ID重复",IF(COUNTIF('案件'!$A$2:$A$201,B77)&lt;&gt;1,"案件ID无效",IF(D77=E77,"A与B任务相同",IF(OR(COUNTIF('任务登记'!$A$2:$A$201,D77)&lt;&gt;1,COUNTIF('任务登记'!$A$2:$A$201,E77)&lt;&gt;1),"裁决任务ID无效",IF(OR(INDEX('任务登记'!$B$2:$B$201,MATCH(D77,'任务登记'!$A$2:$A$201,0))&lt;&gt;B77,INDEX('任务登记'!$B$2:$B$201,MATCH(E77,'任务登记'!$A$2:$A$201,0))&lt;&gt;B77),"裁决任务跨案",IF(OR(INDEX('任务登记'!$F$2:$F$201,MATCH(D77,'任务登记'!$A$2:$A$201,0))&lt;&gt;"A",INDEX('任务登记'!$F$2:$F$201,MATCH(E77,'任务登记'!$A$2:$A$201,0))&lt;&gt;"B"),"裁决角色不符",IF(INDEX('任务登记'!$E$2:$E$201,MATCH(D77,'任务登记'!$A$2:$A$201,0))=INDEX('任务登记'!$E$2:$E$201,MATCH(E77,'任务登记'!$A$2:$A$201,0)),"A与B为同一人",IF(OR(M77=INDEX('任务登记'!$E$2:$E$201,MATCH(D77,'任务登记'!$A$2:$A$201,0)),M77=INDEX('任务登记'!$E$2:$E$201,MATCH(E77,'任务登记'!$A$2:$A$201,0))),"裁决者参与原标注","字段齐备"))))))))))</x:f>
      </x:c>
    </x:row>
    <x:row r="78" ht="3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10" t="str">
        <x:f>IF(COUNTA(A78:P78)=0,"",IF(OR(A78="",B78="",C78="",D78="",E78="",F78="",G78="",H78="",I78="",J78="",K78="",L78="",M78="",N78="",O78=""),"缺必填",IF(COUNTIF($A$2:$A$201,A78)&gt;1,"ID重复",IF(COUNTIF('案件'!$A$2:$A$201,B78)&lt;&gt;1,"案件ID无效",IF(D78=E78,"A与B任务相同",IF(OR(COUNTIF('任务登记'!$A$2:$A$201,D78)&lt;&gt;1,COUNTIF('任务登记'!$A$2:$A$201,E78)&lt;&gt;1),"裁决任务ID无效",IF(OR(INDEX('任务登记'!$B$2:$B$201,MATCH(D78,'任务登记'!$A$2:$A$201,0))&lt;&gt;B78,INDEX('任务登记'!$B$2:$B$201,MATCH(E78,'任务登记'!$A$2:$A$201,0))&lt;&gt;B78),"裁决任务跨案",IF(OR(INDEX('任务登记'!$F$2:$F$201,MATCH(D78,'任务登记'!$A$2:$A$201,0))&lt;&gt;"A",INDEX('任务登记'!$F$2:$F$201,MATCH(E78,'任务登记'!$A$2:$A$201,0))&lt;&gt;"B"),"裁决角色不符",IF(INDEX('任务登记'!$E$2:$E$201,MATCH(D78,'任务登记'!$A$2:$A$201,0))=INDEX('任务登记'!$E$2:$E$201,MATCH(E78,'任务登记'!$A$2:$A$201,0)),"A与B为同一人",IF(OR(M78=INDEX('任务登记'!$E$2:$E$201,MATCH(D78,'任务登记'!$A$2:$A$201,0)),M78=INDEX('任务登记'!$E$2:$E$201,MATCH(E78,'任务登记'!$A$2:$A$201,0))),"裁决者参与原标注","字段齐备"))))))))))</x:f>
      </x:c>
    </x:row>
    <x:row r="79" ht="3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10" t="str">
        <x:f>IF(COUNTA(A79:P79)=0,"",IF(OR(A79="",B79="",C79="",D79="",E79="",F79="",G79="",H79="",I79="",J79="",K79="",L79="",M79="",N79="",O79=""),"缺必填",IF(COUNTIF($A$2:$A$201,A79)&gt;1,"ID重复",IF(COUNTIF('案件'!$A$2:$A$201,B79)&lt;&gt;1,"案件ID无效",IF(D79=E79,"A与B任务相同",IF(OR(COUNTIF('任务登记'!$A$2:$A$201,D79)&lt;&gt;1,COUNTIF('任务登记'!$A$2:$A$201,E79)&lt;&gt;1),"裁决任务ID无效",IF(OR(INDEX('任务登记'!$B$2:$B$201,MATCH(D79,'任务登记'!$A$2:$A$201,0))&lt;&gt;B79,INDEX('任务登记'!$B$2:$B$201,MATCH(E79,'任务登记'!$A$2:$A$201,0))&lt;&gt;B79),"裁决任务跨案",IF(OR(INDEX('任务登记'!$F$2:$F$201,MATCH(D79,'任务登记'!$A$2:$A$201,0))&lt;&gt;"A",INDEX('任务登记'!$F$2:$F$201,MATCH(E79,'任务登记'!$A$2:$A$201,0))&lt;&gt;"B"),"裁决角色不符",IF(INDEX('任务登记'!$E$2:$E$201,MATCH(D79,'任务登记'!$A$2:$A$201,0))=INDEX('任务登记'!$E$2:$E$201,MATCH(E79,'任务登记'!$A$2:$A$201,0)),"A与B为同一人",IF(OR(M79=INDEX('任务登记'!$E$2:$E$201,MATCH(D79,'任务登记'!$A$2:$A$201,0)),M79=INDEX('任务登记'!$E$2:$E$201,MATCH(E79,'任务登记'!$A$2:$A$201,0))),"裁决者参与原标注","字段齐备"))))))))))</x:f>
      </x:c>
    </x:row>
    <x:row r="80" ht="3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10" t="str">
        <x:f>IF(COUNTA(A80:P80)=0,"",IF(OR(A80="",B80="",C80="",D80="",E80="",F80="",G80="",H80="",I80="",J80="",K80="",L80="",M80="",N80="",O80=""),"缺必填",IF(COUNTIF($A$2:$A$201,A80)&gt;1,"ID重复",IF(COUNTIF('案件'!$A$2:$A$201,B80)&lt;&gt;1,"案件ID无效",IF(D80=E80,"A与B任务相同",IF(OR(COUNTIF('任务登记'!$A$2:$A$201,D80)&lt;&gt;1,COUNTIF('任务登记'!$A$2:$A$201,E80)&lt;&gt;1),"裁决任务ID无效",IF(OR(INDEX('任务登记'!$B$2:$B$201,MATCH(D80,'任务登记'!$A$2:$A$201,0))&lt;&gt;B80,INDEX('任务登记'!$B$2:$B$201,MATCH(E80,'任务登记'!$A$2:$A$201,0))&lt;&gt;B80),"裁决任务跨案",IF(OR(INDEX('任务登记'!$F$2:$F$201,MATCH(D80,'任务登记'!$A$2:$A$201,0))&lt;&gt;"A",INDEX('任务登记'!$F$2:$F$201,MATCH(E80,'任务登记'!$A$2:$A$201,0))&lt;&gt;"B"),"裁决角色不符",IF(INDEX('任务登记'!$E$2:$E$201,MATCH(D80,'任务登记'!$A$2:$A$201,0))=INDEX('任务登记'!$E$2:$E$201,MATCH(E80,'任务登记'!$A$2:$A$201,0)),"A与B为同一人",IF(OR(M80=INDEX('任务登记'!$E$2:$E$201,MATCH(D80,'任务登记'!$A$2:$A$201,0)),M80=INDEX('任务登记'!$E$2:$E$201,MATCH(E80,'任务登记'!$A$2:$A$201,0))),"裁决者参与原标注","字段齐备"))))))))))</x:f>
      </x:c>
    </x:row>
    <x:row r="81" ht="3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10" t="str">
        <x:f>IF(COUNTA(A81:P81)=0,"",IF(OR(A81="",B81="",C81="",D81="",E81="",F81="",G81="",H81="",I81="",J81="",K81="",L81="",M81="",N81="",O81=""),"缺必填",IF(COUNTIF($A$2:$A$201,A81)&gt;1,"ID重复",IF(COUNTIF('案件'!$A$2:$A$201,B81)&lt;&gt;1,"案件ID无效",IF(D81=E81,"A与B任务相同",IF(OR(COUNTIF('任务登记'!$A$2:$A$201,D81)&lt;&gt;1,COUNTIF('任务登记'!$A$2:$A$201,E81)&lt;&gt;1),"裁决任务ID无效",IF(OR(INDEX('任务登记'!$B$2:$B$201,MATCH(D81,'任务登记'!$A$2:$A$201,0))&lt;&gt;B81,INDEX('任务登记'!$B$2:$B$201,MATCH(E81,'任务登记'!$A$2:$A$201,0))&lt;&gt;B81),"裁决任务跨案",IF(OR(INDEX('任务登记'!$F$2:$F$201,MATCH(D81,'任务登记'!$A$2:$A$201,0))&lt;&gt;"A",INDEX('任务登记'!$F$2:$F$201,MATCH(E81,'任务登记'!$A$2:$A$201,0))&lt;&gt;"B"),"裁决角色不符",IF(INDEX('任务登记'!$E$2:$E$201,MATCH(D81,'任务登记'!$A$2:$A$201,0))=INDEX('任务登记'!$E$2:$E$201,MATCH(E81,'任务登记'!$A$2:$A$201,0)),"A与B为同一人",IF(OR(M81=INDEX('任务登记'!$E$2:$E$201,MATCH(D81,'任务登记'!$A$2:$A$201,0)),M81=INDEX('任务登记'!$E$2:$E$201,MATCH(E81,'任务登记'!$A$2:$A$201,0))),"裁决者参与原标注","字段齐备"))))))))))</x:f>
      </x:c>
    </x:row>
    <x:row r="82" ht="3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10" t="str">
        <x:f>IF(COUNTA(A82:P82)=0,"",IF(OR(A82="",B82="",C82="",D82="",E82="",F82="",G82="",H82="",I82="",J82="",K82="",L82="",M82="",N82="",O82=""),"缺必填",IF(COUNTIF($A$2:$A$201,A82)&gt;1,"ID重复",IF(COUNTIF('案件'!$A$2:$A$201,B82)&lt;&gt;1,"案件ID无效",IF(D82=E82,"A与B任务相同",IF(OR(COUNTIF('任务登记'!$A$2:$A$201,D82)&lt;&gt;1,COUNTIF('任务登记'!$A$2:$A$201,E82)&lt;&gt;1),"裁决任务ID无效",IF(OR(INDEX('任务登记'!$B$2:$B$201,MATCH(D82,'任务登记'!$A$2:$A$201,0))&lt;&gt;B82,INDEX('任务登记'!$B$2:$B$201,MATCH(E82,'任务登记'!$A$2:$A$201,0))&lt;&gt;B82),"裁决任务跨案",IF(OR(INDEX('任务登记'!$F$2:$F$201,MATCH(D82,'任务登记'!$A$2:$A$201,0))&lt;&gt;"A",INDEX('任务登记'!$F$2:$F$201,MATCH(E82,'任务登记'!$A$2:$A$201,0))&lt;&gt;"B"),"裁决角色不符",IF(INDEX('任务登记'!$E$2:$E$201,MATCH(D82,'任务登记'!$A$2:$A$201,0))=INDEX('任务登记'!$E$2:$E$201,MATCH(E82,'任务登记'!$A$2:$A$201,0)),"A与B为同一人",IF(OR(M82=INDEX('任务登记'!$E$2:$E$201,MATCH(D82,'任务登记'!$A$2:$A$201,0)),M82=INDEX('任务登记'!$E$2:$E$201,MATCH(E82,'任务登记'!$A$2:$A$201,0))),"裁决者参与原标注","字段齐备"))))))))))</x:f>
      </x:c>
    </x:row>
    <x:row r="83" ht="3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10" t="str">
        <x:f>IF(COUNTA(A83:P83)=0,"",IF(OR(A83="",B83="",C83="",D83="",E83="",F83="",G83="",H83="",I83="",J83="",K83="",L83="",M83="",N83="",O83=""),"缺必填",IF(COUNTIF($A$2:$A$201,A83)&gt;1,"ID重复",IF(COUNTIF('案件'!$A$2:$A$201,B83)&lt;&gt;1,"案件ID无效",IF(D83=E83,"A与B任务相同",IF(OR(COUNTIF('任务登记'!$A$2:$A$201,D83)&lt;&gt;1,COUNTIF('任务登记'!$A$2:$A$201,E83)&lt;&gt;1),"裁决任务ID无效",IF(OR(INDEX('任务登记'!$B$2:$B$201,MATCH(D83,'任务登记'!$A$2:$A$201,0))&lt;&gt;B83,INDEX('任务登记'!$B$2:$B$201,MATCH(E83,'任务登记'!$A$2:$A$201,0))&lt;&gt;B83),"裁决任务跨案",IF(OR(INDEX('任务登记'!$F$2:$F$201,MATCH(D83,'任务登记'!$A$2:$A$201,0))&lt;&gt;"A",INDEX('任务登记'!$F$2:$F$201,MATCH(E83,'任务登记'!$A$2:$A$201,0))&lt;&gt;"B"),"裁决角色不符",IF(INDEX('任务登记'!$E$2:$E$201,MATCH(D83,'任务登记'!$A$2:$A$201,0))=INDEX('任务登记'!$E$2:$E$201,MATCH(E83,'任务登记'!$A$2:$A$201,0)),"A与B为同一人",IF(OR(M83=INDEX('任务登记'!$E$2:$E$201,MATCH(D83,'任务登记'!$A$2:$A$201,0)),M83=INDEX('任务登记'!$E$2:$E$201,MATCH(E83,'任务登记'!$A$2:$A$201,0))),"裁决者参与原标注","字段齐备"))))))))))</x:f>
      </x:c>
    </x:row>
    <x:row r="84" ht="3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10" t="str">
        <x:f>IF(COUNTA(A84:P84)=0,"",IF(OR(A84="",B84="",C84="",D84="",E84="",F84="",G84="",H84="",I84="",J84="",K84="",L84="",M84="",N84="",O84=""),"缺必填",IF(COUNTIF($A$2:$A$201,A84)&gt;1,"ID重复",IF(COUNTIF('案件'!$A$2:$A$201,B84)&lt;&gt;1,"案件ID无效",IF(D84=E84,"A与B任务相同",IF(OR(COUNTIF('任务登记'!$A$2:$A$201,D84)&lt;&gt;1,COUNTIF('任务登记'!$A$2:$A$201,E84)&lt;&gt;1),"裁决任务ID无效",IF(OR(INDEX('任务登记'!$B$2:$B$201,MATCH(D84,'任务登记'!$A$2:$A$201,0))&lt;&gt;B84,INDEX('任务登记'!$B$2:$B$201,MATCH(E84,'任务登记'!$A$2:$A$201,0))&lt;&gt;B84),"裁决任务跨案",IF(OR(INDEX('任务登记'!$F$2:$F$201,MATCH(D84,'任务登记'!$A$2:$A$201,0))&lt;&gt;"A",INDEX('任务登记'!$F$2:$F$201,MATCH(E84,'任务登记'!$A$2:$A$201,0))&lt;&gt;"B"),"裁决角色不符",IF(INDEX('任务登记'!$E$2:$E$201,MATCH(D84,'任务登记'!$A$2:$A$201,0))=INDEX('任务登记'!$E$2:$E$201,MATCH(E84,'任务登记'!$A$2:$A$201,0)),"A与B为同一人",IF(OR(M84=INDEX('任务登记'!$E$2:$E$201,MATCH(D84,'任务登记'!$A$2:$A$201,0)),M84=INDEX('任务登记'!$E$2:$E$201,MATCH(E84,'任务登记'!$A$2:$A$201,0))),"裁决者参与原标注","字段齐备"))))))))))</x:f>
      </x:c>
    </x:row>
    <x:row r="85" ht="3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10" t="str">
        <x:f>IF(COUNTA(A85:P85)=0,"",IF(OR(A85="",B85="",C85="",D85="",E85="",F85="",G85="",H85="",I85="",J85="",K85="",L85="",M85="",N85="",O85=""),"缺必填",IF(COUNTIF($A$2:$A$201,A85)&gt;1,"ID重复",IF(COUNTIF('案件'!$A$2:$A$201,B85)&lt;&gt;1,"案件ID无效",IF(D85=E85,"A与B任务相同",IF(OR(COUNTIF('任务登记'!$A$2:$A$201,D85)&lt;&gt;1,COUNTIF('任务登记'!$A$2:$A$201,E85)&lt;&gt;1),"裁决任务ID无效",IF(OR(INDEX('任务登记'!$B$2:$B$201,MATCH(D85,'任务登记'!$A$2:$A$201,0))&lt;&gt;B85,INDEX('任务登记'!$B$2:$B$201,MATCH(E85,'任务登记'!$A$2:$A$201,0))&lt;&gt;B85),"裁决任务跨案",IF(OR(INDEX('任务登记'!$F$2:$F$201,MATCH(D85,'任务登记'!$A$2:$A$201,0))&lt;&gt;"A",INDEX('任务登记'!$F$2:$F$201,MATCH(E85,'任务登记'!$A$2:$A$201,0))&lt;&gt;"B"),"裁决角色不符",IF(INDEX('任务登记'!$E$2:$E$201,MATCH(D85,'任务登记'!$A$2:$A$201,0))=INDEX('任务登记'!$E$2:$E$201,MATCH(E85,'任务登记'!$A$2:$A$201,0)),"A与B为同一人",IF(OR(M85=INDEX('任务登记'!$E$2:$E$201,MATCH(D85,'任务登记'!$A$2:$A$201,0)),M85=INDEX('任务登记'!$E$2:$E$201,MATCH(E85,'任务登记'!$A$2:$A$201,0))),"裁决者参与原标注","字段齐备"))))))))))</x:f>
      </x:c>
    </x:row>
    <x:row r="86" ht="3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10" t="str">
        <x:f>IF(COUNTA(A86:P86)=0,"",IF(OR(A86="",B86="",C86="",D86="",E86="",F86="",G86="",H86="",I86="",J86="",K86="",L86="",M86="",N86="",O86=""),"缺必填",IF(COUNTIF($A$2:$A$201,A86)&gt;1,"ID重复",IF(COUNTIF('案件'!$A$2:$A$201,B86)&lt;&gt;1,"案件ID无效",IF(D86=E86,"A与B任务相同",IF(OR(COUNTIF('任务登记'!$A$2:$A$201,D86)&lt;&gt;1,COUNTIF('任务登记'!$A$2:$A$201,E86)&lt;&gt;1),"裁决任务ID无效",IF(OR(INDEX('任务登记'!$B$2:$B$201,MATCH(D86,'任务登记'!$A$2:$A$201,0))&lt;&gt;B86,INDEX('任务登记'!$B$2:$B$201,MATCH(E86,'任务登记'!$A$2:$A$201,0))&lt;&gt;B86),"裁决任务跨案",IF(OR(INDEX('任务登记'!$F$2:$F$201,MATCH(D86,'任务登记'!$A$2:$A$201,0))&lt;&gt;"A",INDEX('任务登记'!$F$2:$F$201,MATCH(E86,'任务登记'!$A$2:$A$201,0))&lt;&gt;"B"),"裁决角色不符",IF(INDEX('任务登记'!$E$2:$E$201,MATCH(D86,'任务登记'!$A$2:$A$201,0))=INDEX('任务登记'!$E$2:$E$201,MATCH(E86,'任务登记'!$A$2:$A$201,0)),"A与B为同一人",IF(OR(M86=INDEX('任务登记'!$E$2:$E$201,MATCH(D86,'任务登记'!$A$2:$A$201,0)),M86=INDEX('任务登记'!$E$2:$E$201,MATCH(E86,'任务登记'!$A$2:$A$201,0))),"裁决者参与原标注","字段齐备"))))))))))</x:f>
      </x:c>
    </x:row>
    <x:row r="87" ht="3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10" t="str">
        <x:f>IF(COUNTA(A87:P87)=0,"",IF(OR(A87="",B87="",C87="",D87="",E87="",F87="",G87="",H87="",I87="",J87="",K87="",L87="",M87="",N87="",O87=""),"缺必填",IF(COUNTIF($A$2:$A$201,A87)&gt;1,"ID重复",IF(COUNTIF('案件'!$A$2:$A$201,B87)&lt;&gt;1,"案件ID无效",IF(D87=E87,"A与B任务相同",IF(OR(COUNTIF('任务登记'!$A$2:$A$201,D87)&lt;&gt;1,COUNTIF('任务登记'!$A$2:$A$201,E87)&lt;&gt;1),"裁决任务ID无效",IF(OR(INDEX('任务登记'!$B$2:$B$201,MATCH(D87,'任务登记'!$A$2:$A$201,0))&lt;&gt;B87,INDEX('任务登记'!$B$2:$B$201,MATCH(E87,'任务登记'!$A$2:$A$201,0))&lt;&gt;B87),"裁决任务跨案",IF(OR(INDEX('任务登记'!$F$2:$F$201,MATCH(D87,'任务登记'!$A$2:$A$201,0))&lt;&gt;"A",INDEX('任务登记'!$F$2:$F$201,MATCH(E87,'任务登记'!$A$2:$A$201,0))&lt;&gt;"B"),"裁决角色不符",IF(INDEX('任务登记'!$E$2:$E$201,MATCH(D87,'任务登记'!$A$2:$A$201,0))=INDEX('任务登记'!$E$2:$E$201,MATCH(E87,'任务登记'!$A$2:$A$201,0)),"A与B为同一人",IF(OR(M87=INDEX('任务登记'!$E$2:$E$201,MATCH(D87,'任务登记'!$A$2:$A$201,0)),M87=INDEX('任务登记'!$E$2:$E$201,MATCH(E87,'任务登记'!$A$2:$A$201,0))),"裁决者参与原标注","字段齐备"))))))))))</x:f>
      </x:c>
    </x:row>
    <x:row r="88" ht="3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10" t="str">
        <x:f>IF(COUNTA(A88:P88)=0,"",IF(OR(A88="",B88="",C88="",D88="",E88="",F88="",G88="",H88="",I88="",J88="",K88="",L88="",M88="",N88="",O88=""),"缺必填",IF(COUNTIF($A$2:$A$201,A88)&gt;1,"ID重复",IF(COUNTIF('案件'!$A$2:$A$201,B88)&lt;&gt;1,"案件ID无效",IF(D88=E88,"A与B任务相同",IF(OR(COUNTIF('任务登记'!$A$2:$A$201,D88)&lt;&gt;1,COUNTIF('任务登记'!$A$2:$A$201,E88)&lt;&gt;1),"裁决任务ID无效",IF(OR(INDEX('任务登记'!$B$2:$B$201,MATCH(D88,'任务登记'!$A$2:$A$201,0))&lt;&gt;B88,INDEX('任务登记'!$B$2:$B$201,MATCH(E88,'任务登记'!$A$2:$A$201,0))&lt;&gt;B88),"裁决任务跨案",IF(OR(INDEX('任务登记'!$F$2:$F$201,MATCH(D88,'任务登记'!$A$2:$A$201,0))&lt;&gt;"A",INDEX('任务登记'!$F$2:$F$201,MATCH(E88,'任务登记'!$A$2:$A$201,0))&lt;&gt;"B"),"裁决角色不符",IF(INDEX('任务登记'!$E$2:$E$201,MATCH(D88,'任务登记'!$A$2:$A$201,0))=INDEX('任务登记'!$E$2:$E$201,MATCH(E88,'任务登记'!$A$2:$A$201,0)),"A与B为同一人",IF(OR(M88=INDEX('任务登记'!$E$2:$E$201,MATCH(D88,'任务登记'!$A$2:$A$201,0)),M88=INDEX('任务登记'!$E$2:$E$201,MATCH(E88,'任务登记'!$A$2:$A$201,0))),"裁决者参与原标注","字段齐备"))))))))))</x:f>
      </x:c>
    </x:row>
    <x:row r="89" ht="3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10" t="str">
        <x:f>IF(COUNTA(A89:P89)=0,"",IF(OR(A89="",B89="",C89="",D89="",E89="",F89="",G89="",H89="",I89="",J89="",K89="",L89="",M89="",N89="",O89=""),"缺必填",IF(COUNTIF($A$2:$A$201,A89)&gt;1,"ID重复",IF(COUNTIF('案件'!$A$2:$A$201,B89)&lt;&gt;1,"案件ID无效",IF(D89=E89,"A与B任务相同",IF(OR(COUNTIF('任务登记'!$A$2:$A$201,D89)&lt;&gt;1,COUNTIF('任务登记'!$A$2:$A$201,E89)&lt;&gt;1),"裁决任务ID无效",IF(OR(INDEX('任务登记'!$B$2:$B$201,MATCH(D89,'任务登记'!$A$2:$A$201,0))&lt;&gt;B89,INDEX('任务登记'!$B$2:$B$201,MATCH(E89,'任务登记'!$A$2:$A$201,0))&lt;&gt;B89),"裁决任务跨案",IF(OR(INDEX('任务登记'!$F$2:$F$201,MATCH(D89,'任务登记'!$A$2:$A$201,0))&lt;&gt;"A",INDEX('任务登记'!$F$2:$F$201,MATCH(E89,'任务登记'!$A$2:$A$201,0))&lt;&gt;"B"),"裁决角色不符",IF(INDEX('任务登记'!$E$2:$E$201,MATCH(D89,'任务登记'!$A$2:$A$201,0))=INDEX('任务登记'!$E$2:$E$201,MATCH(E89,'任务登记'!$A$2:$A$201,0)),"A与B为同一人",IF(OR(M89=INDEX('任务登记'!$E$2:$E$201,MATCH(D89,'任务登记'!$A$2:$A$201,0)),M89=INDEX('任务登记'!$E$2:$E$201,MATCH(E89,'任务登记'!$A$2:$A$201,0))),"裁决者参与原标注","字段齐备"))))))))))</x:f>
      </x:c>
    </x:row>
    <x:row r="90" ht="3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10" t="str">
        <x:f>IF(COUNTA(A90:P90)=0,"",IF(OR(A90="",B90="",C90="",D90="",E90="",F90="",G90="",H90="",I90="",J90="",K90="",L90="",M90="",N90="",O90=""),"缺必填",IF(COUNTIF($A$2:$A$201,A90)&gt;1,"ID重复",IF(COUNTIF('案件'!$A$2:$A$201,B90)&lt;&gt;1,"案件ID无效",IF(D90=E90,"A与B任务相同",IF(OR(COUNTIF('任务登记'!$A$2:$A$201,D90)&lt;&gt;1,COUNTIF('任务登记'!$A$2:$A$201,E90)&lt;&gt;1),"裁决任务ID无效",IF(OR(INDEX('任务登记'!$B$2:$B$201,MATCH(D90,'任务登记'!$A$2:$A$201,0))&lt;&gt;B90,INDEX('任务登记'!$B$2:$B$201,MATCH(E90,'任务登记'!$A$2:$A$201,0))&lt;&gt;B90),"裁决任务跨案",IF(OR(INDEX('任务登记'!$F$2:$F$201,MATCH(D90,'任务登记'!$A$2:$A$201,0))&lt;&gt;"A",INDEX('任务登记'!$F$2:$F$201,MATCH(E90,'任务登记'!$A$2:$A$201,0))&lt;&gt;"B"),"裁决角色不符",IF(INDEX('任务登记'!$E$2:$E$201,MATCH(D90,'任务登记'!$A$2:$A$201,0))=INDEX('任务登记'!$E$2:$E$201,MATCH(E90,'任务登记'!$A$2:$A$201,0)),"A与B为同一人",IF(OR(M90=INDEX('任务登记'!$E$2:$E$201,MATCH(D90,'任务登记'!$A$2:$A$201,0)),M90=INDEX('任务登记'!$E$2:$E$201,MATCH(E90,'任务登记'!$A$2:$A$201,0))),"裁决者参与原标注","字段齐备"))))))))))</x:f>
      </x:c>
    </x:row>
    <x:row r="91" ht="3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10" t="str">
        <x:f>IF(COUNTA(A91:P91)=0,"",IF(OR(A91="",B91="",C91="",D91="",E91="",F91="",G91="",H91="",I91="",J91="",K91="",L91="",M91="",N91="",O91=""),"缺必填",IF(COUNTIF($A$2:$A$201,A91)&gt;1,"ID重复",IF(COUNTIF('案件'!$A$2:$A$201,B91)&lt;&gt;1,"案件ID无效",IF(D91=E91,"A与B任务相同",IF(OR(COUNTIF('任务登记'!$A$2:$A$201,D91)&lt;&gt;1,COUNTIF('任务登记'!$A$2:$A$201,E91)&lt;&gt;1),"裁决任务ID无效",IF(OR(INDEX('任务登记'!$B$2:$B$201,MATCH(D91,'任务登记'!$A$2:$A$201,0))&lt;&gt;B91,INDEX('任务登记'!$B$2:$B$201,MATCH(E91,'任务登记'!$A$2:$A$201,0))&lt;&gt;B91),"裁决任务跨案",IF(OR(INDEX('任务登记'!$F$2:$F$201,MATCH(D91,'任务登记'!$A$2:$A$201,0))&lt;&gt;"A",INDEX('任务登记'!$F$2:$F$201,MATCH(E91,'任务登记'!$A$2:$A$201,0))&lt;&gt;"B"),"裁决角色不符",IF(INDEX('任务登记'!$E$2:$E$201,MATCH(D91,'任务登记'!$A$2:$A$201,0))=INDEX('任务登记'!$E$2:$E$201,MATCH(E91,'任务登记'!$A$2:$A$201,0)),"A与B为同一人",IF(OR(M91=INDEX('任务登记'!$E$2:$E$201,MATCH(D91,'任务登记'!$A$2:$A$201,0)),M91=INDEX('任务登记'!$E$2:$E$201,MATCH(E91,'任务登记'!$A$2:$A$201,0))),"裁决者参与原标注","字段齐备"))))))))))</x:f>
      </x:c>
    </x:row>
    <x:row r="92" ht="3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10" t="str">
        <x:f>IF(COUNTA(A92:P92)=0,"",IF(OR(A92="",B92="",C92="",D92="",E92="",F92="",G92="",H92="",I92="",J92="",K92="",L92="",M92="",N92="",O92=""),"缺必填",IF(COUNTIF($A$2:$A$201,A92)&gt;1,"ID重复",IF(COUNTIF('案件'!$A$2:$A$201,B92)&lt;&gt;1,"案件ID无效",IF(D92=E92,"A与B任务相同",IF(OR(COUNTIF('任务登记'!$A$2:$A$201,D92)&lt;&gt;1,COUNTIF('任务登记'!$A$2:$A$201,E92)&lt;&gt;1),"裁决任务ID无效",IF(OR(INDEX('任务登记'!$B$2:$B$201,MATCH(D92,'任务登记'!$A$2:$A$201,0))&lt;&gt;B92,INDEX('任务登记'!$B$2:$B$201,MATCH(E92,'任务登记'!$A$2:$A$201,0))&lt;&gt;B92),"裁决任务跨案",IF(OR(INDEX('任务登记'!$F$2:$F$201,MATCH(D92,'任务登记'!$A$2:$A$201,0))&lt;&gt;"A",INDEX('任务登记'!$F$2:$F$201,MATCH(E92,'任务登记'!$A$2:$A$201,0))&lt;&gt;"B"),"裁决角色不符",IF(INDEX('任务登记'!$E$2:$E$201,MATCH(D92,'任务登记'!$A$2:$A$201,0))=INDEX('任务登记'!$E$2:$E$201,MATCH(E92,'任务登记'!$A$2:$A$201,0)),"A与B为同一人",IF(OR(M92=INDEX('任务登记'!$E$2:$E$201,MATCH(D92,'任务登记'!$A$2:$A$201,0)),M92=INDEX('任务登记'!$E$2:$E$201,MATCH(E92,'任务登记'!$A$2:$A$201,0))),"裁决者参与原标注","字段齐备"))))))))))</x:f>
      </x:c>
    </x:row>
    <x:row r="93" ht="3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10" t="str">
        <x:f>IF(COUNTA(A93:P93)=0,"",IF(OR(A93="",B93="",C93="",D93="",E93="",F93="",G93="",H93="",I93="",J93="",K93="",L93="",M93="",N93="",O93=""),"缺必填",IF(COUNTIF($A$2:$A$201,A93)&gt;1,"ID重复",IF(COUNTIF('案件'!$A$2:$A$201,B93)&lt;&gt;1,"案件ID无效",IF(D93=E93,"A与B任务相同",IF(OR(COUNTIF('任务登记'!$A$2:$A$201,D93)&lt;&gt;1,COUNTIF('任务登记'!$A$2:$A$201,E93)&lt;&gt;1),"裁决任务ID无效",IF(OR(INDEX('任务登记'!$B$2:$B$201,MATCH(D93,'任务登记'!$A$2:$A$201,0))&lt;&gt;B93,INDEX('任务登记'!$B$2:$B$201,MATCH(E93,'任务登记'!$A$2:$A$201,0))&lt;&gt;B93),"裁决任务跨案",IF(OR(INDEX('任务登记'!$F$2:$F$201,MATCH(D93,'任务登记'!$A$2:$A$201,0))&lt;&gt;"A",INDEX('任务登记'!$F$2:$F$201,MATCH(E93,'任务登记'!$A$2:$A$201,0))&lt;&gt;"B"),"裁决角色不符",IF(INDEX('任务登记'!$E$2:$E$201,MATCH(D93,'任务登记'!$A$2:$A$201,0))=INDEX('任务登记'!$E$2:$E$201,MATCH(E93,'任务登记'!$A$2:$A$201,0)),"A与B为同一人",IF(OR(M93=INDEX('任务登记'!$E$2:$E$201,MATCH(D93,'任务登记'!$A$2:$A$201,0)),M93=INDEX('任务登记'!$E$2:$E$201,MATCH(E93,'任务登记'!$A$2:$A$201,0))),"裁决者参与原标注","字段齐备"))))))))))</x:f>
      </x:c>
    </x:row>
    <x:row r="94" ht="3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10" t="str">
        <x:f>IF(COUNTA(A94:P94)=0,"",IF(OR(A94="",B94="",C94="",D94="",E94="",F94="",G94="",H94="",I94="",J94="",K94="",L94="",M94="",N94="",O94=""),"缺必填",IF(COUNTIF($A$2:$A$201,A94)&gt;1,"ID重复",IF(COUNTIF('案件'!$A$2:$A$201,B94)&lt;&gt;1,"案件ID无效",IF(D94=E94,"A与B任务相同",IF(OR(COUNTIF('任务登记'!$A$2:$A$201,D94)&lt;&gt;1,COUNTIF('任务登记'!$A$2:$A$201,E94)&lt;&gt;1),"裁决任务ID无效",IF(OR(INDEX('任务登记'!$B$2:$B$201,MATCH(D94,'任务登记'!$A$2:$A$201,0))&lt;&gt;B94,INDEX('任务登记'!$B$2:$B$201,MATCH(E94,'任务登记'!$A$2:$A$201,0))&lt;&gt;B94),"裁决任务跨案",IF(OR(INDEX('任务登记'!$F$2:$F$201,MATCH(D94,'任务登记'!$A$2:$A$201,0))&lt;&gt;"A",INDEX('任务登记'!$F$2:$F$201,MATCH(E94,'任务登记'!$A$2:$A$201,0))&lt;&gt;"B"),"裁决角色不符",IF(INDEX('任务登记'!$E$2:$E$201,MATCH(D94,'任务登记'!$A$2:$A$201,0))=INDEX('任务登记'!$E$2:$E$201,MATCH(E94,'任务登记'!$A$2:$A$201,0)),"A与B为同一人",IF(OR(M94=INDEX('任务登记'!$E$2:$E$201,MATCH(D94,'任务登记'!$A$2:$A$201,0)),M94=INDEX('任务登记'!$E$2:$E$201,MATCH(E94,'任务登记'!$A$2:$A$201,0))),"裁决者参与原标注","字段齐备"))))))))))</x:f>
      </x:c>
    </x:row>
    <x:row r="95" ht="3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10" t="str">
        <x:f>IF(COUNTA(A95:P95)=0,"",IF(OR(A95="",B95="",C95="",D95="",E95="",F95="",G95="",H95="",I95="",J95="",K95="",L95="",M95="",N95="",O95=""),"缺必填",IF(COUNTIF($A$2:$A$201,A95)&gt;1,"ID重复",IF(COUNTIF('案件'!$A$2:$A$201,B95)&lt;&gt;1,"案件ID无效",IF(D95=E95,"A与B任务相同",IF(OR(COUNTIF('任务登记'!$A$2:$A$201,D95)&lt;&gt;1,COUNTIF('任务登记'!$A$2:$A$201,E95)&lt;&gt;1),"裁决任务ID无效",IF(OR(INDEX('任务登记'!$B$2:$B$201,MATCH(D95,'任务登记'!$A$2:$A$201,0))&lt;&gt;B95,INDEX('任务登记'!$B$2:$B$201,MATCH(E95,'任务登记'!$A$2:$A$201,0))&lt;&gt;B95),"裁决任务跨案",IF(OR(INDEX('任务登记'!$F$2:$F$201,MATCH(D95,'任务登记'!$A$2:$A$201,0))&lt;&gt;"A",INDEX('任务登记'!$F$2:$F$201,MATCH(E95,'任务登记'!$A$2:$A$201,0))&lt;&gt;"B"),"裁决角色不符",IF(INDEX('任务登记'!$E$2:$E$201,MATCH(D95,'任务登记'!$A$2:$A$201,0))=INDEX('任务登记'!$E$2:$E$201,MATCH(E95,'任务登记'!$A$2:$A$201,0)),"A与B为同一人",IF(OR(M95=INDEX('任务登记'!$E$2:$E$201,MATCH(D95,'任务登记'!$A$2:$A$201,0)),M95=INDEX('任务登记'!$E$2:$E$201,MATCH(E95,'任务登记'!$A$2:$A$201,0))),"裁决者参与原标注","字段齐备"))))))))))</x:f>
      </x:c>
    </x:row>
    <x:row r="96" ht="3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10" t="str">
        <x:f>IF(COUNTA(A96:P96)=0,"",IF(OR(A96="",B96="",C96="",D96="",E96="",F96="",G96="",H96="",I96="",J96="",K96="",L96="",M96="",N96="",O96=""),"缺必填",IF(COUNTIF($A$2:$A$201,A96)&gt;1,"ID重复",IF(COUNTIF('案件'!$A$2:$A$201,B96)&lt;&gt;1,"案件ID无效",IF(D96=E96,"A与B任务相同",IF(OR(COUNTIF('任务登记'!$A$2:$A$201,D96)&lt;&gt;1,COUNTIF('任务登记'!$A$2:$A$201,E96)&lt;&gt;1),"裁决任务ID无效",IF(OR(INDEX('任务登记'!$B$2:$B$201,MATCH(D96,'任务登记'!$A$2:$A$201,0))&lt;&gt;B96,INDEX('任务登记'!$B$2:$B$201,MATCH(E96,'任务登记'!$A$2:$A$201,0))&lt;&gt;B96),"裁决任务跨案",IF(OR(INDEX('任务登记'!$F$2:$F$201,MATCH(D96,'任务登记'!$A$2:$A$201,0))&lt;&gt;"A",INDEX('任务登记'!$F$2:$F$201,MATCH(E96,'任务登记'!$A$2:$A$201,0))&lt;&gt;"B"),"裁决角色不符",IF(INDEX('任务登记'!$E$2:$E$201,MATCH(D96,'任务登记'!$A$2:$A$201,0))=INDEX('任务登记'!$E$2:$E$201,MATCH(E96,'任务登记'!$A$2:$A$201,0)),"A与B为同一人",IF(OR(M96=INDEX('任务登记'!$E$2:$E$201,MATCH(D96,'任务登记'!$A$2:$A$201,0)),M96=INDEX('任务登记'!$E$2:$E$201,MATCH(E96,'任务登记'!$A$2:$A$201,0))),"裁决者参与原标注","字段齐备"))))))))))</x:f>
      </x:c>
    </x:row>
    <x:row r="97" ht="3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10" t="str">
        <x:f>IF(COUNTA(A97:P97)=0,"",IF(OR(A97="",B97="",C97="",D97="",E97="",F97="",G97="",H97="",I97="",J97="",K97="",L97="",M97="",N97="",O97=""),"缺必填",IF(COUNTIF($A$2:$A$201,A97)&gt;1,"ID重复",IF(COUNTIF('案件'!$A$2:$A$201,B97)&lt;&gt;1,"案件ID无效",IF(D97=E97,"A与B任务相同",IF(OR(COUNTIF('任务登记'!$A$2:$A$201,D97)&lt;&gt;1,COUNTIF('任务登记'!$A$2:$A$201,E97)&lt;&gt;1),"裁决任务ID无效",IF(OR(INDEX('任务登记'!$B$2:$B$201,MATCH(D97,'任务登记'!$A$2:$A$201,0))&lt;&gt;B97,INDEX('任务登记'!$B$2:$B$201,MATCH(E97,'任务登记'!$A$2:$A$201,0))&lt;&gt;B97),"裁决任务跨案",IF(OR(INDEX('任务登记'!$F$2:$F$201,MATCH(D97,'任务登记'!$A$2:$A$201,0))&lt;&gt;"A",INDEX('任务登记'!$F$2:$F$201,MATCH(E97,'任务登记'!$A$2:$A$201,0))&lt;&gt;"B"),"裁决角色不符",IF(INDEX('任务登记'!$E$2:$E$201,MATCH(D97,'任务登记'!$A$2:$A$201,0))=INDEX('任务登记'!$E$2:$E$201,MATCH(E97,'任务登记'!$A$2:$A$201,0)),"A与B为同一人",IF(OR(M97=INDEX('任务登记'!$E$2:$E$201,MATCH(D97,'任务登记'!$A$2:$A$201,0)),M97=INDEX('任务登记'!$E$2:$E$201,MATCH(E97,'任务登记'!$A$2:$A$201,0))),"裁决者参与原标注","字段齐备"))))))))))</x:f>
      </x:c>
    </x:row>
    <x:row r="98" ht="3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10" t="str">
        <x:f>IF(COUNTA(A98:P98)=0,"",IF(OR(A98="",B98="",C98="",D98="",E98="",F98="",G98="",H98="",I98="",J98="",K98="",L98="",M98="",N98="",O98=""),"缺必填",IF(COUNTIF($A$2:$A$201,A98)&gt;1,"ID重复",IF(COUNTIF('案件'!$A$2:$A$201,B98)&lt;&gt;1,"案件ID无效",IF(D98=E98,"A与B任务相同",IF(OR(COUNTIF('任务登记'!$A$2:$A$201,D98)&lt;&gt;1,COUNTIF('任务登记'!$A$2:$A$201,E98)&lt;&gt;1),"裁决任务ID无效",IF(OR(INDEX('任务登记'!$B$2:$B$201,MATCH(D98,'任务登记'!$A$2:$A$201,0))&lt;&gt;B98,INDEX('任务登记'!$B$2:$B$201,MATCH(E98,'任务登记'!$A$2:$A$201,0))&lt;&gt;B98),"裁决任务跨案",IF(OR(INDEX('任务登记'!$F$2:$F$201,MATCH(D98,'任务登记'!$A$2:$A$201,0))&lt;&gt;"A",INDEX('任务登记'!$F$2:$F$201,MATCH(E98,'任务登记'!$A$2:$A$201,0))&lt;&gt;"B"),"裁决角色不符",IF(INDEX('任务登记'!$E$2:$E$201,MATCH(D98,'任务登记'!$A$2:$A$201,0))=INDEX('任务登记'!$E$2:$E$201,MATCH(E98,'任务登记'!$A$2:$A$201,0)),"A与B为同一人",IF(OR(M98=INDEX('任务登记'!$E$2:$E$201,MATCH(D98,'任务登记'!$A$2:$A$201,0)),M98=INDEX('任务登记'!$E$2:$E$201,MATCH(E98,'任务登记'!$A$2:$A$201,0))),"裁决者参与原标注","字段齐备"))))))))))</x:f>
      </x:c>
    </x:row>
    <x:row r="99" ht="3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10" t="str">
        <x:f>IF(COUNTA(A99:P99)=0,"",IF(OR(A99="",B99="",C99="",D99="",E99="",F99="",G99="",H99="",I99="",J99="",K99="",L99="",M99="",N99="",O99=""),"缺必填",IF(COUNTIF($A$2:$A$201,A99)&gt;1,"ID重复",IF(COUNTIF('案件'!$A$2:$A$201,B99)&lt;&gt;1,"案件ID无效",IF(D99=E99,"A与B任务相同",IF(OR(COUNTIF('任务登记'!$A$2:$A$201,D99)&lt;&gt;1,COUNTIF('任务登记'!$A$2:$A$201,E99)&lt;&gt;1),"裁决任务ID无效",IF(OR(INDEX('任务登记'!$B$2:$B$201,MATCH(D99,'任务登记'!$A$2:$A$201,0))&lt;&gt;B99,INDEX('任务登记'!$B$2:$B$201,MATCH(E99,'任务登记'!$A$2:$A$201,0))&lt;&gt;B99),"裁决任务跨案",IF(OR(INDEX('任务登记'!$F$2:$F$201,MATCH(D99,'任务登记'!$A$2:$A$201,0))&lt;&gt;"A",INDEX('任务登记'!$F$2:$F$201,MATCH(E99,'任务登记'!$A$2:$A$201,0))&lt;&gt;"B"),"裁决角色不符",IF(INDEX('任务登记'!$E$2:$E$201,MATCH(D99,'任务登记'!$A$2:$A$201,0))=INDEX('任务登记'!$E$2:$E$201,MATCH(E99,'任务登记'!$A$2:$A$201,0)),"A与B为同一人",IF(OR(M99=INDEX('任务登记'!$E$2:$E$201,MATCH(D99,'任务登记'!$A$2:$A$201,0)),M99=INDEX('任务登记'!$E$2:$E$201,MATCH(E99,'任务登记'!$A$2:$A$201,0))),"裁决者参与原标注","字段齐备"))))))))))</x:f>
      </x:c>
    </x:row>
    <x:row r="100" ht="3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10" t="str">
        <x:f>IF(COUNTA(A100:P100)=0,"",IF(OR(A100="",B100="",C100="",D100="",E100="",F100="",G100="",H100="",I100="",J100="",K100="",L100="",M100="",N100="",O100=""),"缺必填",IF(COUNTIF($A$2:$A$201,A100)&gt;1,"ID重复",IF(COUNTIF('案件'!$A$2:$A$201,B100)&lt;&gt;1,"案件ID无效",IF(D100=E100,"A与B任务相同",IF(OR(COUNTIF('任务登记'!$A$2:$A$201,D100)&lt;&gt;1,COUNTIF('任务登记'!$A$2:$A$201,E100)&lt;&gt;1),"裁决任务ID无效",IF(OR(INDEX('任务登记'!$B$2:$B$201,MATCH(D100,'任务登记'!$A$2:$A$201,0))&lt;&gt;B100,INDEX('任务登记'!$B$2:$B$201,MATCH(E100,'任务登记'!$A$2:$A$201,0))&lt;&gt;B100),"裁决任务跨案",IF(OR(INDEX('任务登记'!$F$2:$F$201,MATCH(D100,'任务登记'!$A$2:$A$201,0))&lt;&gt;"A",INDEX('任务登记'!$F$2:$F$201,MATCH(E100,'任务登记'!$A$2:$A$201,0))&lt;&gt;"B"),"裁决角色不符",IF(INDEX('任务登记'!$E$2:$E$201,MATCH(D100,'任务登记'!$A$2:$A$201,0))=INDEX('任务登记'!$E$2:$E$201,MATCH(E100,'任务登记'!$A$2:$A$201,0)),"A与B为同一人",IF(OR(M100=INDEX('任务登记'!$E$2:$E$201,MATCH(D100,'任务登记'!$A$2:$A$201,0)),M100=INDEX('任务登记'!$E$2:$E$201,MATCH(E100,'任务登记'!$A$2:$A$201,0))),"裁决者参与原标注","字段齐备"))))))))))</x:f>
      </x:c>
    </x:row>
    <x:row r="101" ht="3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10" t="str">
        <x:f>IF(COUNTA(A101:P101)=0,"",IF(OR(A101="",B101="",C101="",D101="",E101="",F101="",G101="",H101="",I101="",J101="",K101="",L101="",M101="",N101="",O101=""),"缺必填",IF(COUNTIF($A$2:$A$201,A101)&gt;1,"ID重复",IF(COUNTIF('案件'!$A$2:$A$201,B101)&lt;&gt;1,"案件ID无效",IF(D101=E101,"A与B任务相同",IF(OR(COUNTIF('任务登记'!$A$2:$A$201,D101)&lt;&gt;1,COUNTIF('任务登记'!$A$2:$A$201,E101)&lt;&gt;1),"裁决任务ID无效",IF(OR(INDEX('任务登记'!$B$2:$B$201,MATCH(D101,'任务登记'!$A$2:$A$201,0))&lt;&gt;B101,INDEX('任务登记'!$B$2:$B$201,MATCH(E101,'任务登记'!$A$2:$A$201,0))&lt;&gt;B101),"裁决任务跨案",IF(OR(INDEX('任务登记'!$F$2:$F$201,MATCH(D101,'任务登记'!$A$2:$A$201,0))&lt;&gt;"A",INDEX('任务登记'!$F$2:$F$201,MATCH(E101,'任务登记'!$A$2:$A$201,0))&lt;&gt;"B"),"裁决角色不符",IF(INDEX('任务登记'!$E$2:$E$201,MATCH(D101,'任务登记'!$A$2:$A$201,0))=INDEX('任务登记'!$E$2:$E$201,MATCH(E101,'任务登记'!$A$2:$A$201,0)),"A与B为同一人",IF(OR(M101=INDEX('任务登记'!$E$2:$E$201,MATCH(D101,'任务登记'!$A$2:$A$201,0)),M101=INDEX('任务登记'!$E$2:$E$201,MATCH(E101,'任务登记'!$A$2:$A$201,0))),"裁决者参与原标注","字段齐备"))))))))))</x:f>
      </x:c>
    </x:row>
    <x:row r="102" ht="3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10" t="str">
        <x:f>IF(COUNTA(A102:P102)=0,"",IF(OR(A102="",B102="",C102="",D102="",E102="",F102="",G102="",H102="",I102="",J102="",K102="",L102="",M102="",N102="",O102=""),"缺必填",IF(COUNTIF($A$2:$A$201,A102)&gt;1,"ID重复",IF(COUNTIF('案件'!$A$2:$A$201,B102)&lt;&gt;1,"案件ID无效",IF(D102=E102,"A与B任务相同",IF(OR(COUNTIF('任务登记'!$A$2:$A$201,D102)&lt;&gt;1,COUNTIF('任务登记'!$A$2:$A$201,E102)&lt;&gt;1),"裁决任务ID无效",IF(OR(INDEX('任务登记'!$B$2:$B$201,MATCH(D102,'任务登记'!$A$2:$A$201,0))&lt;&gt;B102,INDEX('任务登记'!$B$2:$B$201,MATCH(E102,'任务登记'!$A$2:$A$201,0))&lt;&gt;B102),"裁决任务跨案",IF(OR(INDEX('任务登记'!$F$2:$F$201,MATCH(D102,'任务登记'!$A$2:$A$201,0))&lt;&gt;"A",INDEX('任务登记'!$F$2:$F$201,MATCH(E102,'任务登记'!$A$2:$A$201,0))&lt;&gt;"B"),"裁决角色不符",IF(INDEX('任务登记'!$E$2:$E$201,MATCH(D102,'任务登记'!$A$2:$A$201,0))=INDEX('任务登记'!$E$2:$E$201,MATCH(E102,'任务登记'!$A$2:$A$201,0)),"A与B为同一人",IF(OR(M102=INDEX('任务登记'!$E$2:$E$201,MATCH(D102,'任务登记'!$A$2:$A$201,0)),M102=INDEX('任务登记'!$E$2:$E$201,MATCH(E102,'任务登记'!$A$2:$A$201,0))),"裁决者参与原标注","字段齐备"))))))))))</x:f>
      </x:c>
    </x:row>
    <x:row r="103" ht="3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10" t="str">
        <x:f>IF(COUNTA(A103:P103)=0,"",IF(OR(A103="",B103="",C103="",D103="",E103="",F103="",G103="",H103="",I103="",J103="",K103="",L103="",M103="",N103="",O103=""),"缺必填",IF(COUNTIF($A$2:$A$201,A103)&gt;1,"ID重复",IF(COUNTIF('案件'!$A$2:$A$201,B103)&lt;&gt;1,"案件ID无效",IF(D103=E103,"A与B任务相同",IF(OR(COUNTIF('任务登记'!$A$2:$A$201,D103)&lt;&gt;1,COUNTIF('任务登记'!$A$2:$A$201,E103)&lt;&gt;1),"裁决任务ID无效",IF(OR(INDEX('任务登记'!$B$2:$B$201,MATCH(D103,'任务登记'!$A$2:$A$201,0))&lt;&gt;B103,INDEX('任务登记'!$B$2:$B$201,MATCH(E103,'任务登记'!$A$2:$A$201,0))&lt;&gt;B103),"裁决任务跨案",IF(OR(INDEX('任务登记'!$F$2:$F$201,MATCH(D103,'任务登记'!$A$2:$A$201,0))&lt;&gt;"A",INDEX('任务登记'!$F$2:$F$201,MATCH(E103,'任务登记'!$A$2:$A$201,0))&lt;&gt;"B"),"裁决角色不符",IF(INDEX('任务登记'!$E$2:$E$201,MATCH(D103,'任务登记'!$A$2:$A$201,0))=INDEX('任务登记'!$E$2:$E$201,MATCH(E103,'任务登记'!$A$2:$A$201,0)),"A与B为同一人",IF(OR(M103=INDEX('任务登记'!$E$2:$E$201,MATCH(D103,'任务登记'!$A$2:$A$201,0)),M103=INDEX('任务登记'!$E$2:$E$201,MATCH(E103,'任务登记'!$A$2:$A$201,0))),"裁决者参与原标注","字段齐备"))))))))))</x:f>
      </x:c>
    </x:row>
    <x:row r="104" ht="3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10" t="str">
        <x:f>IF(COUNTA(A104:P104)=0,"",IF(OR(A104="",B104="",C104="",D104="",E104="",F104="",G104="",H104="",I104="",J104="",K104="",L104="",M104="",N104="",O104=""),"缺必填",IF(COUNTIF($A$2:$A$201,A104)&gt;1,"ID重复",IF(COUNTIF('案件'!$A$2:$A$201,B104)&lt;&gt;1,"案件ID无效",IF(D104=E104,"A与B任务相同",IF(OR(COUNTIF('任务登记'!$A$2:$A$201,D104)&lt;&gt;1,COUNTIF('任务登记'!$A$2:$A$201,E104)&lt;&gt;1),"裁决任务ID无效",IF(OR(INDEX('任务登记'!$B$2:$B$201,MATCH(D104,'任务登记'!$A$2:$A$201,0))&lt;&gt;B104,INDEX('任务登记'!$B$2:$B$201,MATCH(E104,'任务登记'!$A$2:$A$201,0))&lt;&gt;B104),"裁决任务跨案",IF(OR(INDEX('任务登记'!$F$2:$F$201,MATCH(D104,'任务登记'!$A$2:$A$201,0))&lt;&gt;"A",INDEX('任务登记'!$F$2:$F$201,MATCH(E104,'任务登记'!$A$2:$A$201,0))&lt;&gt;"B"),"裁决角色不符",IF(INDEX('任务登记'!$E$2:$E$201,MATCH(D104,'任务登记'!$A$2:$A$201,0))=INDEX('任务登记'!$E$2:$E$201,MATCH(E104,'任务登记'!$A$2:$A$201,0)),"A与B为同一人",IF(OR(M104=INDEX('任务登记'!$E$2:$E$201,MATCH(D104,'任务登记'!$A$2:$A$201,0)),M104=INDEX('任务登记'!$E$2:$E$201,MATCH(E104,'任务登记'!$A$2:$A$201,0))),"裁决者参与原标注","字段齐备"))))))))))</x:f>
      </x:c>
    </x:row>
    <x:row r="105" ht="3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10" t="str">
        <x:f>IF(COUNTA(A105:P105)=0,"",IF(OR(A105="",B105="",C105="",D105="",E105="",F105="",G105="",H105="",I105="",J105="",K105="",L105="",M105="",N105="",O105=""),"缺必填",IF(COUNTIF($A$2:$A$201,A105)&gt;1,"ID重复",IF(COUNTIF('案件'!$A$2:$A$201,B105)&lt;&gt;1,"案件ID无效",IF(D105=E105,"A与B任务相同",IF(OR(COUNTIF('任务登记'!$A$2:$A$201,D105)&lt;&gt;1,COUNTIF('任务登记'!$A$2:$A$201,E105)&lt;&gt;1),"裁决任务ID无效",IF(OR(INDEX('任务登记'!$B$2:$B$201,MATCH(D105,'任务登记'!$A$2:$A$201,0))&lt;&gt;B105,INDEX('任务登记'!$B$2:$B$201,MATCH(E105,'任务登记'!$A$2:$A$201,0))&lt;&gt;B105),"裁决任务跨案",IF(OR(INDEX('任务登记'!$F$2:$F$201,MATCH(D105,'任务登记'!$A$2:$A$201,0))&lt;&gt;"A",INDEX('任务登记'!$F$2:$F$201,MATCH(E105,'任务登记'!$A$2:$A$201,0))&lt;&gt;"B"),"裁决角色不符",IF(INDEX('任务登记'!$E$2:$E$201,MATCH(D105,'任务登记'!$A$2:$A$201,0))=INDEX('任务登记'!$E$2:$E$201,MATCH(E105,'任务登记'!$A$2:$A$201,0)),"A与B为同一人",IF(OR(M105=INDEX('任务登记'!$E$2:$E$201,MATCH(D105,'任务登记'!$A$2:$A$201,0)),M105=INDEX('任务登记'!$E$2:$E$201,MATCH(E105,'任务登记'!$A$2:$A$201,0))),"裁决者参与原标注","字段齐备"))))))))))</x:f>
      </x:c>
    </x:row>
    <x:row r="106" ht="3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10" t="str">
        <x:f>IF(COUNTA(A106:P106)=0,"",IF(OR(A106="",B106="",C106="",D106="",E106="",F106="",G106="",H106="",I106="",J106="",K106="",L106="",M106="",N106="",O106=""),"缺必填",IF(COUNTIF($A$2:$A$201,A106)&gt;1,"ID重复",IF(COUNTIF('案件'!$A$2:$A$201,B106)&lt;&gt;1,"案件ID无效",IF(D106=E106,"A与B任务相同",IF(OR(COUNTIF('任务登记'!$A$2:$A$201,D106)&lt;&gt;1,COUNTIF('任务登记'!$A$2:$A$201,E106)&lt;&gt;1),"裁决任务ID无效",IF(OR(INDEX('任务登记'!$B$2:$B$201,MATCH(D106,'任务登记'!$A$2:$A$201,0))&lt;&gt;B106,INDEX('任务登记'!$B$2:$B$201,MATCH(E106,'任务登记'!$A$2:$A$201,0))&lt;&gt;B106),"裁决任务跨案",IF(OR(INDEX('任务登记'!$F$2:$F$201,MATCH(D106,'任务登记'!$A$2:$A$201,0))&lt;&gt;"A",INDEX('任务登记'!$F$2:$F$201,MATCH(E106,'任务登记'!$A$2:$A$201,0))&lt;&gt;"B"),"裁决角色不符",IF(INDEX('任务登记'!$E$2:$E$201,MATCH(D106,'任务登记'!$A$2:$A$201,0))=INDEX('任务登记'!$E$2:$E$201,MATCH(E106,'任务登记'!$A$2:$A$201,0)),"A与B为同一人",IF(OR(M106=INDEX('任务登记'!$E$2:$E$201,MATCH(D106,'任务登记'!$A$2:$A$201,0)),M106=INDEX('任务登记'!$E$2:$E$201,MATCH(E106,'任务登记'!$A$2:$A$201,0))),"裁决者参与原标注","字段齐备"))))))))))</x:f>
      </x:c>
    </x:row>
    <x:row r="107" ht="3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10" t="str">
        <x:f>IF(COUNTA(A107:P107)=0,"",IF(OR(A107="",B107="",C107="",D107="",E107="",F107="",G107="",H107="",I107="",J107="",K107="",L107="",M107="",N107="",O107=""),"缺必填",IF(COUNTIF($A$2:$A$201,A107)&gt;1,"ID重复",IF(COUNTIF('案件'!$A$2:$A$201,B107)&lt;&gt;1,"案件ID无效",IF(D107=E107,"A与B任务相同",IF(OR(COUNTIF('任务登记'!$A$2:$A$201,D107)&lt;&gt;1,COUNTIF('任务登记'!$A$2:$A$201,E107)&lt;&gt;1),"裁决任务ID无效",IF(OR(INDEX('任务登记'!$B$2:$B$201,MATCH(D107,'任务登记'!$A$2:$A$201,0))&lt;&gt;B107,INDEX('任务登记'!$B$2:$B$201,MATCH(E107,'任务登记'!$A$2:$A$201,0))&lt;&gt;B107),"裁决任务跨案",IF(OR(INDEX('任务登记'!$F$2:$F$201,MATCH(D107,'任务登记'!$A$2:$A$201,0))&lt;&gt;"A",INDEX('任务登记'!$F$2:$F$201,MATCH(E107,'任务登记'!$A$2:$A$201,0))&lt;&gt;"B"),"裁决角色不符",IF(INDEX('任务登记'!$E$2:$E$201,MATCH(D107,'任务登记'!$A$2:$A$201,0))=INDEX('任务登记'!$E$2:$E$201,MATCH(E107,'任务登记'!$A$2:$A$201,0)),"A与B为同一人",IF(OR(M107=INDEX('任务登记'!$E$2:$E$201,MATCH(D107,'任务登记'!$A$2:$A$201,0)),M107=INDEX('任务登记'!$E$2:$E$201,MATCH(E107,'任务登记'!$A$2:$A$201,0))),"裁决者参与原标注","字段齐备"))))))))))</x:f>
      </x:c>
    </x:row>
    <x:row r="108" ht="3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10" t="str">
        <x:f>IF(COUNTA(A108:P108)=0,"",IF(OR(A108="",B108="",C108="",D108="",E108="",F108="",G108="",H108="",I108="",J108="",K108="",L108="",M108="",N108="",O108=""),"缺必填",IF(COUNTIF($A$2:$A$201,A108)&gt;1,"ID重复",IF(COUNTIF('案件'!$A$2:$A$201,B108)&lt;&gt;1,"案件ID无效",IF(D108=E108,"A与B任务相同",IF(OR(COUNTIF('任务登记'!$A$2:$A$201,D108)&lt;&gt;1,COUNTIF('任务登记'!$A$2:$A$201,E108)&lt;&gt;1),"裁决任务ID无效",IF(OR(INDEX('任务登记'!$B$2:$B$201,MATCH(D108,'任务登记'!$A$2:$A$201,0))&lt;&gt;B108,INDEX('任务登记'!$B$2:$B$201,MATCH(E108,'任务登记'!$A$2:$A$201,0))&lt;&gt;B108),"裁决任务跨案",IF(OR(INDEX('任务登记'!$F$2:$F$201,MATCH(D108,'任务登记'!$A$2:$A$201,0))&lt;&gt;"A",INDEX('任务登记'!$F$2:$F$201,MATCH(E108,'任务登记'!$A$2:$A$201,0))&lt;&gt;"B"),"裁决角色不符",IF(INDEX('任务登记'!$E$2:$E$201,MATCH(D108,'任务登记'!$A$2:$A$201,0))=INDEX('任务登记'!$E$2:$E$201,MATCH(E108,'任务登记'!$A$2:$A$201,0)),"A与B为同一人",IF(OR(M108=INDEX('任务登记'!$E$2:$E$201,MATCH(D108,'任务登记'!$A$2:$A$201,0)),M108=INDEX('任务登记'!$E$2:$E$201,MATCH(E108,'任务登记'!$A$2:$A$201,0))),"裁决者参与原标注","字段齐备"))))))))))</x:f>
      </x:c>
    </x:row>
    <x:row r="109" ht="3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10" t="str">
        <x:f>IF(COUNTA(A109:P109)=0,"",IF(OR(A109="",B109="",C109="",D109="",E109="",F109="",G109="",H109="",I109="",J109="",K109="",L109="",M109="",N109="",O109=""),"缺必填",IF(COUNTIF($A$2:$A$201,A109)&gt;1,"ID重复",IF(COUNTIF('案件'!$A$2:$A$201,B109)&lt;&gt;1,"案件ID无效",IF(D109=E109,"A与B任务相同",IF(OR(COUNTIF('任务登记'!$A$2:$A$201,D109)&lt;&gt;1,COUNTIF('任务登记'!$A$2:$A$201,E109)&lt;&gt;1),"裁决任务ID无效",IF(OR(INDEX('任务登记'!$B$2:$B$201,MATCH(D109,'任务登记'!$A$2:$A$201,0))&lt;&gt;B109,INDEX('任务登记'!$B$2:$B$201,MATCH(E109,'任务登记'!$A$2:$A$201,0))&lt;&gt;B109),"裁决任务跨案",IF(OR(INDEX('任务登记'!$F$2:$F$201,MATCH(D109,'任务登记'!$A$2:$A$201,0))&lt;&gt;"A",INDEX('任务登记'!$F$2:$F$201,MATCH(E109,'任务登记'!$A$2:$A$201,0))&lt;&gt;"B"),"裁决角色不符",IF(INDEX('任务登记'!$E$2:$E$201,MATCH(D109,'任务登记'!$A$2:$A$201,0))=INDEX('任务登记'!$E$2:$E$201,MATCH(E109,'任务登记'!$A$2:$A$201,0)),"A与B为同一人",IF(OR(M109=INDEX('任务登记'!$E$2:$E$201,MATCH(D109,'任务登记'!$A$2:$A$201,0)),M109=INDEX('任务登记'!$E$2:$E$201,MATCH(E109,'任务登记'!$A$2:$A$201,0))),"裁决者参与原标注","字段齐备"))))))))))</x:f>
      </x:c>
    </x:row>
    <x:row r="110" ht="3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10" t="str">
        <x:f>IF(COUNTA(A110:P110)=0,"",IF(OR(A110="",B110="",C110="",D110="",E110="",F110="",G110="",H110="",I110="",J110="",K110="",L110="",M110="",N110="",O110=""),"缺必填",IF(COUNTIF($A$2:$A$201,A110)&gt;1,"ID重复",IF(COUNTIF('案件'!$A$2:$A$201,B110)&lt;&gt;1,"案件ID无效",IF(D110=E110,"A与B任务相同",IF(OR(COUNTIF('任务登记'!$A$2:$A$201,D110)&lt;&gt;1,COUNTIF('任务登记'!$A$2:$A$201,E110)&lt;&gt;1),"裁决任务ID无效",IF(OR(INDEX('任务登记'!$B$2:$B$201,MATCH(D110,'任务登记'!$A$2:$A$201,0))&lt;&gt;B110,INDEX('任务登记'!$B$2:$B$201,MATCH(E110,'任务登记'!$A$2:$A$201,0))&lt;&gt;B110),"裁决任务跨案",IF(OR(INDEX('任务登记'!$F$2:$F$201,MATCH(D110,'任务登记'!$A$2:$A$201,0))&lt;&gt;"A",INDEX('任务登记'!$F$2:$F$201,MATCH(E110,'任务登记'!$A$2:$A$201,0))&lt;&gt;"B"),"裁决角色不符",IF(INDEX('任务登记'!$E$2:$E$201,MATCH(D110,'任务登记'!$A$2:$A$201,0))=INDEX('任务登记'!$E$2:$E$201,MATCH(E110,'任务登记'!$A$2:$A$201,0)),"A与B为同一人",IF(OR(M110=INDEX('任务登记'!$E$2:$E$201,MATCH(D110,'任务登记'!$A$2:$A$201,0)),M110=INDEX('任务登记'!$E$2:$E$201,MATCH(E110,'任务登记'!$A$2:$A$201,0))),"裁决者参与原标注","字段齐备"))))))))))</x:f>
      </x:c>
    </x:row>
    <x:row r="111" ht="3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10" t="str">
        <x:f>IF(COUNTA(A111:P111)=0,"",IF(OR(A111="",B111="",C111="",D111="",E111="",F111="",G111="",H111="",I111="",J111="",K111="",L111="",M111="",N111="",O111=""),"缺必填",IF(COUNTIF($A$2:$A$201,A111)&gt;1,"ID重复",IF(COUNTIF('案件'!$A$2:$A$201,B111)&lt;&gt;1,"案件ID无效",IF(D111=E111,"A与B任务相同",IF(OR(COUNTIF('任务登记'!$A$2:$A$201,D111)&lt;&gt;1,COUNTIF('任务登记'!$A$2:$A$201,E111)&lt;&gt;1),"裁决任务ID无效",IF(OR(INDEX('任务登记'!$B$2:$B$201,MATCH(D111,'任务登记'!$A$2:$A$201,0))&lt;&gt;B111,INDEX('任务登记'!$B$2:$B$201,MATCH(E111,'任务登记'!$A$2:$A$201,0))&lt;&gt;B111),"裁决任务跨案",IF(OR(INDEX('任务登记'!$F$2:$F$201,MATCH(D111,'任务登记'!$A$2:$A$201,0))&lt;&gt;"A",INDEX('任务登记'!$F$2:$F$201,MATCH(E111,'任务登记'!$A$2:$A$201,0))&lt;&gt;"B"),"裁决角色不符",IF(INDEX('任务登记'!$E$2:$E$201,MATCH(D111,'任务登记'!$A$2:$A$201,0))=INDEX('任务登记'!$E$2:$E$201,MATCH(E111,'任务登记'!$A$2:$A$201,0)),"A与B为同一人",IF(OR(M111=INDEX('任务登记'!$E$2:$E$201,MATCH(D111,'任务登记'!$A$2:$A$201,0)),M111=INDEX('任务登记'!$E$2:$E$201,MATCH(E111,'任务登记'!$A$2:$A$201,0))),"裁决者参与原标注","字段齐备"))))))))))</x:f>
      </x:c>
    </x:row>
    <x:row r="112" ht="3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10" t="str">
        <x:f>IF(COUNTA(A112:P112)=0,"",IF(OR(A112="",B112="",C112="",D112="",E112="",F112="",G112="",H112="",I112="",J112="",K112="",L112="",M112="",N112="",O112=""),"缺必填",IF(COUNTIF($A$2:$A$201,A112)&gt;1,"ID重复",IF(COUNTIF('案件'!$A$2:$A$201,B112)&lt;&gt;1,"案件ID无效",IF(D112=E112,"A与B任务相同",IF(OR(COUNTIF('任务登记'!$A$2:$A$201,D112)&lt;&gt;1,COUNTIF('任务登记'!$A$2:$A$201,E112)&lt;&gt;1),"裁决任务ID无效",IF(OR(INDEX('任务登记'!$B$2:$B$201,MATCH(D112,'任务登记'!$A$2:$A$201,0))&lt;&gt;B112,INDEX('任务登记'!$B$2:$B$201,MATCH(E112,'任务登记'!$A$2:$A$201,0))&lt;&gt;B112),"裁决任务跨案",IF(OR(INDEX('任务登记'!$F$2:$F$201,MATCH(D112,'任务登记'!$A$2:$A$201,0))&lt;&gt;"A",INDEX('任务登记'!$F$2:$F$201,MATCH(E112,'任务登记'!$A$2:$A$201,0))&lt;&gt;"B"),"裁决角色不符",IF(INDEX('任务登记'!$E$2:$E$201,MATCH(D112,'任务登记'!$A$2:$A$201,0))=INDEX('任务登记'!$E$2:$E$201,MATCH(E112,'任务登记'!$A$2:$A$201,0)),"A与B为同一人",IF(OR(M112=INDEX('任务登记'!$E$2:$E$201,MATCH(D112,'任务登记'!$A$2:$A$201,0)),M112=INDEX('任务登记'!$E$2:$E$201,MATCH(E112,'任务登记'!$A$2:$A$201,0))),"裁决者参与原标注","字段齐备"))))))))))</x:f>
      </x:c>
    </x:row>
    <x:row r="113" ht="3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10" t="str">
        <x:f>IF(COUNTA(A113:P113)=0,"",IF(OR(A113="",B113="",C113="",D113="",E113="",F113="",G113="",H113="",I113="",J113="",K113="",L113="",M113="",N113="",O113=""),"缺必填",IF(COUNTIF($A$2:$A$201,A113)&gt;1,"ID重复",IF(COUNTIF('案件'!$A$2:$A$201,B113)&lt;&gt;1,"案件ID无效",IF(D113=E113,"A与B任务相同",IF(OR(COUNTIF('任务登记'!$A$2:$A$201,D113)&lt;&gt;1,COUNTIF('任务登记'!$A$2:$A$201,E113)&lt;&gt;1),"裁决任务ID无效",IF(OR(INDEX('任务登记'!$B$2:$B$201,MATCH(D113,'任务登记'!$A$2:$A$201,0))&lt;&gt;B113,INDEX('任务登记'!$B$2:$B$201,MATCH(E113,'任务登记'!$A$2:$A$201,0))&lt;&gt;B113),"裁决任务跨案",IF(OR(INDEX('任务登记'!$F$2:$F$201,MATCH(D113,'任务登记'!$A$2:$A$201,0))&lt;&gt;"A",INDEX('任务登记'!$F$2:$F$201,MATCH(E113,'任务登记'!$A$2:$A$201,0))&lt;&gt;"B"),"裁决角色不符",IF(INDEX('任务登记'!$E$2:$E$201,MATCH(D113,'任务登记'!$A$2:$A$201,0))=INDEX('任务登记'!$E$2:$E$201,MATCH(E113,'任务登记'!$A$2:$A$201,0)),"A与B为同一人",IF(OR(M113=INDEX('任务登记'!$E$2:$E$201,MATCH(D113,'任务登记'!$A$2:$A$201,0)),M113=INDEX('任务登记'!$E$2:$E$201,MATCH(E113,'任务登记'!$A$2:$A$201,0))),"裁决者参与原标注","字段齐备"))))))))))</x:f>
      </x:c>
    </x:row>
    <x:row r="114" ht="3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10" t="str">
        <x:f>IF(COUNTA(A114:P114)=0,"",IF(OR(A114="",B114="",C114="",D114="",E114="",F114="",G114="",H114="",I114="",J114="",K114="",L114="",M114="",N114="",O114=""),"缺必填",IF(COUNTIF($A$2:$A$201,A114)&gt;1,"ID重复",IF(COUNTIF('案件'!$A$2:$A$201,B114)&lt;&gt;1,"案件ID无效",IF(D114=E114,"A与B任务相同",IF(OR(COUNTIF('任务登记'!$A$2:$A$201,D114)&lt;&gt;1,COUNTIF('任务登记'!$A$2:$A$201,E114)&lt;&gt;1),"裁决任务ID无效",IF(OR(INDEX('任务登记'!$B$2:$B$201,MATCH(D114,'任务登记'!$A$2:$A$201,0))&lt;&gt;B114,INDEX('任务登记'!$B$2:$B$201,MATCH(E114,'任务登记'!$A$2:$A$201,0))&lt;&gt;B114),"裁决任务跨案",IF(OR(INDEX('任务登记'!$F$2:$F$201,MATCH(D114,'任务登记'!$A$2:$A$201,0))&lt;&gt;"A",INDEX('任务登记'!$F$2:$F$201,MATCH(E114,'任务登记'!$A$2:$A$201,0))&lt;&gt;"B"),"裁决角色不符",IF(INDEX('任务登记'!$E$2:$E$201,MATCH(D114,'任务登记'!$A$2:$A$201,0))=INDEX('任务登记'!$E$2:$E$201,MATCH(E114,'任务登记'!$A$2:$A$201,0)),"A与B为同一人",IF(OR(M114=INDEX('任务登记'!$E$2:$E$201,MATCH(D114,'任务登记'!$A$2:$A$201,0)),M114=INDEX('任务登记'!$E$2:$E$201,MATCH(E114,'任务登记'!$A$2:$A$201,0))),"裁决者参与原标注","字段齐备"))))))))))</x:f>
      </x:c>
    </x:row>
    <x:row r="115" ht="3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10" t="str">
        <x:f>IF(COUNTA(A115:P115)=0,"",IF(OR(A115="",B115="",C115="",D115="",E115="",F115="",G115="",H115="",I115="",J115="",K115="",L115="",M115="",N115="",O115=""),"缺必填",IF(COUNTIF($A$2:$A$201,A115)&gt;1,"ID重复",IF(COUNTIF('案件'!$A$2:$A$201,B115)&lt;&gt;1,"案件ID无效",IF(D115=E115,"A与B任务相同",IF(OR(COUNTIF('任务登记'!$A$2:$A$201,D115)&lt;&gt;1,COUNTIF('任务登记'!$A$2:$A$201,E115)&lt;&gt;1),"裁决任务ID无效",IF(OR(INDEX('任务登记'!$B$2:$B$201,MATCH(D115,'任务登记'!$A$2:$A$201,0))&lt;&gt;B115,INDEX('任务登记'!$B$2:$B$201,MATCH(E115,'任务登记'!$A$2:$A$201,0))&lt;&gt;B115),"裁决任务跨案",IF(OR(INDEX('任务登记'!$F$2:$F$201,MATCH(D115,'任务登记'!$A$2:$A$201,0))&lt;&gt;"A",INDEX('任务登记'!$F$2:$F$201,MATCH(E115,'任务登记'!$A$2:$A$201,0))&lt;&gt;"B"),"裁决角色不符",IF(INDEX('任务登记'!$E$2:$E$201,MATCH(D115,'任务登记'!$A$2:$A$201,0))=INDEX('任务登记'!$E$2:$E$201,MATCH(E115,'任务登记'!$A$2:$A$201,0)),"A与B为同一人",IF(OR(M115=INDEX('任务登记'!$E$2:$E$201,MATCH(D115,'任务登记'!$A$2:$A$201,0)),M115=INDEX('任务登记'!$E$2:$E$201,MATCH(E115,'任务登记'!$A$2:$A$201,0))),"裁决者参与原标注","字段齐备"))))))))))</x:f>
      </x:c>
    </x:row>
    <x:row r="116" ht="3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10" t="str">
        <x:f>IF(COUNTA(A116:P116)=0,"",IF(OR(A116="",B116="",C116="",D116="",E116="",F116="",G116="",H116="",I116="",J116="",K116="",L116="",M116="",N116="",O116=""),"缺必填",IF(COUNTIF($A$2:$A$201,A116)&gt;1,"ID重复",IF(COUNTIF('案件'!$A$2:$A$201,B116)&lt;&gt;1,"案件ID无效",IF(D116=E116,"A与B任务相同",IF(OR(COUNTIF('任务登记'!$A$2:$A$201,D116)&lt;&gt;1,COUNTIF('任务登记'!$A$2:$A$201,E116)&lt;&gt;1),"裁决任务ID无效",IF(OR(INDEX('任务登记'!$B$2:$B$201,MATCH(D116,'任务登记'!$A$2:$A$201,0))&lt;&gt;B116,INDEX('任务登记'!$B$2:$B$201,MATCH(E116,'任务登记'!$A$2:$A$201,0))&lt;&gt;B116),"裁决任务跨案",IF(OR(INDEX('任务登记'!$F$2:$F$201,MATCH(D116,'任务登记'!$A$2:$A$201,0))&lt;&gt;"A",INDEX('任务登记'!$F$2:$F$201,MATCH(E116,'任务登记'!$A$2:$A$201,0))&lt;&gt;"B"),"裁决角色不符",IF(INDEX('任务登记'!$E$2:$E$201,MATCH(D116,'任务登记'!$A$2:$A$201,0))=INDEX('任务登记'!$E$2:$E$201,MATCH(E116,'任务登记'!$A$2:$A$201,0)),"A与B为同一人",IF(OR(M116=INDEX('任务登记'!$E$2:$E$201,MATCH(D116,'任务登记'!$A$2:$A$201,0)),M116=INDEX('任务登记'!$E$2:$E$201,MATCH(E116,'任务登记'!$A$2:$A$201,0))),"裁决者参与原标注","字段齐备"))))))))))</x:f>
      </x:c>
    </x:row>
    <x:row r="117" ht="3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10" t="str">
        <x:f>IF(COUNTA(A117:P117)=0,"",IF(OR(A117="",B117="",C117="",D117="",E117="",F117="",G117="",H117="",I117="",J117="",K117="",L117="",M117="",N117="",O117=""),"缺必填",IF(COUNTIF($A$2:$A$201,A117)&gt;1,"ID重复",IF(COUNTIF('案件'!$A$2:$A$201,B117)&lt;&gt;1,"案件ID无效",IF(D117=E117,"A与B任务相同",IF(OR(COUNTIF('任务登记'!$A$2:$A$201,D117)&lt;&gt;1,COUNTIF('任务登记'!$A$2:$A$201,E117)&lt;&gt;1),"裁决任务ID无效",IF(OR(INDEX('任务登记'!$B$2:$B$201,MATCH(D117,'任务登记'!$A$2:$A$201,0))&lt;&gt;B117,INDEX('任务登记'!$B$2:$B$201,MATCH(E117,'任务登记'!$A$2:$A$201,0))&lt;&gt;B117),"裁决任务跨案",IF(OR(INDEX('任务登记'!$F$2:$F$201,MATCH(D117,'任务登记'!$A$2:$A$201,0))&lt;&gt;"A",INDEX('任务登记'!$F$2:$F$201,MATCH(E117,'任务登记'!$A$2:$A$201,0))&lt;&gt;"B"),"裁决角色不符",IF(INDEX('任务登记'!$E$2:$E$201,MATCH(D117,'任务登记'!$A$2:$A$201,0))=INDEX('任务登记'!$E$2:$E$201,MATCH(E117,'任务登记'!$A$2:$A$201,0)),"A与B为同一人",IF(OR(M117=INDEX('任务登记'!$E$2:$E$201,MATCH(D117,'任务登记'!$A$2:$A$201,0)),M117=INDEX('任务登记'!$E$2:$E$201,MATCH(E117,'任务登记'!$A$2:$A$201,0))),"裁决者参与原标注","字段齐备"))))))))))</x:f>
      </x:c>
    </x:row>
    <x:row r="118" ht="3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10" t="str">
        <x:f>IF(COUNTA(A118:P118)=0,"",IF(OR(A118="",B118="",C118="",D118="",E118="",F118="",G118="",H118="",I118="",J118="",K118="",L118="",M118="",N118="",O118=""),"缺必填",IF(COUNTIF($A$2:$A$201,A118)&gt;1,"ID重复",IF(COUNTIF('案件'!$A$2:$A$201,B118)&lt;&gt;1,"案件ID无效",IF(D118=E118,"A与B任务相同",IF(OR(COUNTIF('任务登记'!$A$2:$A$201,D118)&lt;&gt;1,COUNTIF('任务登记'!$A$2:$A$201,E118)&lt;&gt;1),"裁决任务ID无效",IF(OR(INDEX('任务登记'!$B$2:$B$201,MATCH(D118,'任务登记'!$A$2:$A$201,0))&lt;&gt;B118,INDEX('任务登记'!$B$2:$B$201,MATCH(E118,'任务登记'!$A$2:$A$201,0))&lt;&gt;B118),"裁决任务跨案",IF(OR(INDEX('任务登记'!$F$2:$F$201,MATCH(D118,'任务登记'!$A$2:$A$201,0))&lt;&gt;"A",INDEX('任务登记'!$F$2:$F$201,MATCH(E118,'任务登记'!$A$2:$A$201,0))&lt;&gt;"B"),"裁决角色不符",IF(INDEX('任务登记'!$E$2:$E$201,MATCH(D118,'任务登记'!$A$2:$A$201,0))=INDEX('任务登记'!$E$2:$E$201,MATCH(E118,'任务登记'!$A$2:$A$201,0)),"A与B为同一人",IF(OR(M118=INDEX('任务登记'!$E$2:$E$201,MATCH(D118,'任务登记'!$A$2:$A$201,0)),M118=INDEX('任务登记'!$E$2:$E$201,MATCH(E118,'任务登记'!$A$2:$A$201,0))),"裁决者参与原标注","字段齐备"))))))))))</x:f>
      </x:c>
    </x:row>
    <x:row r="119" ht="3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10" t="str">
        <x:f>IF(COUNTA(A119:P119)=0,"",IF(OR(A119="",B119="",C119="",D119="",E119="",F119="",G119="",H119="",I119="",J119="",K119="",L119="",M119="",N119="",O119=""),"缺必填",IF(COUNTIF($A$2:$A$201,A119)&gt;1,"ID重复",IF(COUNTIF('案件'!$A$2:$A$201,B119)&lt;&gt;1,"案件ID无效",IF(D119=E119,"A与B任务相同",IF(OR(COUNTIF('任务登记'!$A$2:$A$201,D119)&lt;&gt;1,COUNTIF('任务登记'!$A$2:$A$201,E119)&lt;&gt;1),"裁决任务ID无效",IF(OR(INDEX('任务登记'!$B$2:$B$201,MATCH(D119,'任务登记'!$A$2:$A$201,0))&lt;&gt;B119,INDEX('任务登记'!$B$2:$B$201,MATCH(E119,'任务登记'!$A$2:$A$201,0))&lt;&gt;B119),"裁决任务跨案",IF(OR(INDEX('任务登记'!$F$2:$F$201,MATCH(D119,'任务登记'!$A$2:$A$201,0))&lt;&gt;"A",INDEX('任务登记'!$F$2:$F$201,MATCH(E119,'任务登记'!$A$2:$A$201,0))&lt;&gt;"B"),"裁决角色不符",IF(INDEX('任务登记'!$E$2:$E$201,MATCH(D119,'任务登记'!$A$2:$A$201,0))=INDEX('任务登记'!$E$2:$E$201,MATCH(E119,'任务登记'!$A$2:$A$201,0)),"A与B为同一人",IF(OR(M119=INDEX('任务登记'!$E$2:$E$201,MATCH(D119,'任务登记'!$A$2:$A$201,0)),M119=INDEX('任务登记'!$E$2:$E$201,MATCH(E119,'任务登记'!$A$2:$A$201,0))),"裁决者参与原标注","字段齐备"))))))))))</x:f>
      </x:c>
    </x:row>
    <x:row r="120" ht="3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10" t="str">
        <x:f>IF(COUNTA(A120:P120)=0,"",IF(OR(A120="",B120="",C120="",D120="",E120="",F120="",G120="",H120="",I120="",J120="",K120="",L120="",M120="",N120="",O120=""),"缺必填",IF(COUNTIF($A$2:$A$201,A120)&gt;1,"ID重复",IF(COUNTIF('案件'!$A$2:$A$201,B120)&lt;&gt;1,"案件ID无效",IF(D120=E120,"A与B任务相同",IF(OR(COUNTIF('任务登记'!$A$2:$A$201,D120)&lt;&gt;1,COUNTIF('任务登记'!$A$2:$A$201,E120)&lt;&gt;1),"裁决任务ID无效",IF(OR(INDEX('任务登记'!$B$2:$B$201,MATCH(D120,'任务登记'!$A$2:$A$201,0))&lt;&gt;B120,INDEX('任务登记'!$B$2:$B$201,MATCH(E120,'任务登记'!$A$2:$A$201,0))&lt;&gt;B120),"裁决任务跨案",IF(OR(INDEX('任务登记'!$F$2:$F$201,MATCH(D120,'任务登记'!$A$2:$A$201,0))&lt;&gt;"A",INDEX('任务登记'!$F$2:$F$201,MATCH(E120,'任务登记'!$A$2:$A$201,0))&lt;&gt;"B"),"裁决角色不符",IF(INDEX('任务登记'!$E$2:$E$201,MATCH(D120,'任务登记'!$A$2:$A$201,0))=INDEX('任务登记'!$E$2:$E$201,MATCH(E120,'任务登记'!$A$2:$A$201,0)),"A与B为同一人",IF(OR(M120=INDEX('任务登记'!$E$2:$E$201,MATCH(D120,'任务登记'!$A$2:$A$201,0)),M120=INDEX('任务登记'!$E$2:$E$201,MATCH(E120,'任务登记'!$A$2:$A$201,0))),"裁决者参与原标注","字段齐备"))))))))))</x:f>
      </x:c>
    </x:row>
    <x:row r="121" ht="3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10" t="str">
        <x:f>IF(COUNTA(A121:P121)=0,"",IF(OR(A121="",B121="",C121="",D121="",E121="",F121="",G121="",H121="",I121="",J121="",K121="",L121="",M121="",N121="",O121=""),"缺必填",IF(COUNTIF($A$2:$A$201,A121)&gt;1,"ID重复",IF(COUNTIF('案件'!$A$2:$A$201,B121)&lt;&gt;1,"案件ID无效",IF(D121=E121,"A与B任务相同",IF(OR(COUNTIF('任务登记'!$A$2:$A$201,D121)&lt;&gt;1,COUNTIF('任务登记'!$A$2:$A$201,E121)&lt;&gt;1),"裁决任务ID无效",IF(OR(INDEX('任务登记'!$B$2:$B$201,MATCH(D121,'任务登记'!$A$2:$A$201,0))&lt;&gt;B121,INDEX('任务登记'!$B$2:$B$201,MATCH(E121,'任务登记'!$A$2:$A$201,0))&lt;&gt;B121),"裁决任务跨案",IF(OR(INDEX('任务登记'!$F$2:$F$201,MATCH(D121,'任务登记'!$A$2:$A$201,0))&lt;&gt;"A",INDEX('任务登记'!$F$2:$F$201,MATCH(E121,'任务登记'!$A$2:$A$201,0))&lt;&gt;"B"),"裁决角色不符",IF(INDEX('任务登记'!$E$2:$E$201,MATCH(D121,'任务登记'!$A$2:$A$201,0))=INDEX('任务登记'!$E$2:$E$201,MATCH(E121,'任务登记'!$A$2:$A$201,0)),"A与B为同一人",IF(OR(M121=INDEX('任务登记'!$E$2:$E$201,MATCH(D121,'任务登记'!$A$2:$A$201,0)),M121=INDEX('任务登记'!$E$2:$E$201,MATCH(E121,'任务登记'!$A$2:$A$201,0))),"裁决者参与原标注","字段齐备"))))))))))</x:f>
      </x:c>
    </x:row>
    <x:row r="122" ht="3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10" t="str">
        <x:f>IF(COUNTA(A122:P122)=0,"",IF(OR(A122="",B122="",C122="",D122="",E122="",F122="",G122="",H122="",I122="",J122="",K122="",L122="",M122="",N122="",O122=""),"缺必填",IF(COUNTIF($A$2:$A$201,A122)&gt;1,"ID重复",IF(COUNTIF('案件'!$A$2:$A$201,B122)&lt;&gt;1,"案件ID无效",IF(D122=E122,"A与B任务相同",IF(OR(COUNTIF('任务登记'!$A$2:$A$201,D122)&lt;&gt;1,COUNTIF('任务登记'!$A$2:$A$201,E122)&lt;&gt;1),"裁决任务ID无效",IF(OR(INDEX('任务登记'!$B$2:$B$201,MATCH(D122,'任务登记'!$A$2:$A$201,0))&lt;&gt;B122,INDEX('任务登记'!$B$2:$B$201,MATCH(E122,'任务登记'!$A$2:$A$201,0))&lt;&gt;B122),"裁决任务跨案",IF(OR(INDEX('任务登记'!$F$2:$F$201,MATCH(D122,'任务登记'!$A$2:$A$201,0))&lt;&gt;"A",INDEX('任务登记'!$F$2:$F$201,MATCH(E122,'任务登记'!$A$2:$A$201,0))&lt;&gt;"B"),"裁决角色不符",IF(INDEX('任务登记'!$E$2:$E$201,MATCH(D122,'任务登记'!$A$2:$A$201,0))=INDEX('任务登记'!$E$2:$E$201,MATCH(E122,'任务登记'!$A$2:$A$201,0)),"A与B为同一人",IF(OR(M122=INDEX('任务登记'!$E$2:$E$201,MATCH(D122,'任务登记'!$A$2:$A$201,0)),M122=INDEX('任务登记'!$E$2:$E$201,MATCH(E122,'任务登记'!$A$2:$A$201,0))),"裁决者参与原标注","字段齐备"))))))))))</x:f>
      </x:c>
    </x:row>
    <x:row r="123" ht="3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10" t="str">
        <x:f>IF(COUNTA(A123:P123)=0,"",IF(OR(A123="",B123="",C123="",D123="",E123="",F123="",G123="",H123="",I123="",J123="",K123="",L123="",M123="",N123="",O123=""),"缺必填",IF(COUNTIF($A$2:$A$201,A123)&gt;1,"ID重复",IF(COUNTIF('案件'!$A$2:$A$201,B123)&lt;&gt;1,"案件ID无效",IF(D123=E123,"A与B任务相同",IF(OR(COUNTIF('任务登记'!$A$2:$A$201,D123)&lt;&gt;1,COUNTIF('任务登记'!$A$2:$A$201,E123)&lt;&gt;1),"裁决任务ID无效",IF(OR(INDEX('任务登记'!$B$2:$B$201,MATCH(D123,'任务登记'!$A$2:$A$201,0))&lt;&gt;B123,INDEX('任务登记'!$B$2:$B$201,MATCH(E123,'任务登记'!$A$2:$A$201,0))&lt;&gt;B123),"裁决任务跨案",IF(OR(INDEX('任务登记'!$F$2:$F$201,MATCH(D123,'任务登记'!$A$2:$A$201,0))&lt;&gt;"A",INDEX('任务登记'!$F$2:$F$201,MATCH(E123,'任务登记'!$A$2:$A$201,0))&lt;&gt;"B"),"裁决角色不符",IF(INDEX('任务登记'!$E$2:$E$201,MATCH(D123,'任务登记'!$A$2:$A$201,0))=INDEX('任务登记'!$E$2:$E$201,MATCH(E123,'任务登记'!$A$2:$A$201,0)),"A与B为同一人",IF(OR(M123=INDEX('任务登记'!$E$2:$E$201,MATCH(D123,'任务登记'!$A$2:$A$201,0)),M123=INDEX('任务登记'!$E$2:$E$201,MATCH(E123,'任务登记'!$A$2:$A$201,0))),"裁决者参与原标注","字段齐备"))))))))))</x:f>
      </x:c>
    </x:row>
    <x:row r="124" ht="3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10" t="str">
        <x:f>IF(COUNTA(A124:P124)=0,"",IF(OR(A124="",B124="",C124="",D124="",E124="",F124="",G124="",H124="",I124="",J124="",K124="",L124="",M124="",N124="",O124=""),"缺必填",IF(COUNTIF($A$2:$A$201,A124)&gt;1,"ID重复",IF(COUNTIF('案件'!$A$2:$A$201,B124)&lt;&gt;1,"案件ID无效",IF(D124=E124,"A与B任务相同",IF(OR(COUNTIF('任务登记'!$A$2:$A$201,D124)&lt;&gt;1,COUNTIF('任务登记'!$A$2:$A$201,E124)&lt;&gt;1),"裁决任务ID无效",IF(OR(INDEX('任务登记'!$B$2:$B$201,MATCH(D124,'任务登记'!$A$2:$A$201,0))&lt;&gt;B124,INDEX('任务登记'!$B$2:$B$201,MATCH(E124,'任务登记'!$A$2:$A$201,0))&lt;&gt;B124),"裁决任务跨案",IF(OR(INDEX('任务登记'!$F$2:$F$201,MATCH(D124,'任务登记'!$A$2:$A$201,0))&lt;&gt;"A",INDEX('任务登记'!$F$2:$F$201,MATCH(E124,'任务登记'!$A$2:$A$201,0))&lt;&gt;"B"),"裁决角色不符",IF(INDEX('任务登记'!$E$2:$E$201,MATCH(D124,'任务登记'!$A$2:$A$201,0))=INDEX('任务登记'!$E$2:$E$201,MATCH(E124,'任务登记'!$A$2:$A$201,0)),"A与B为同一人",IF(OR(M124=INDEX('任务登记'!$E$2:$E$201,MATCH(D124,'任务登记'!$A$2:$A$201,0)),M124=INDEX('任务登记'!$E$2:$E$201,MATCH(E124,'任务登记'!$A$2:$A$201,0))),"裁决者参与原标注","字段齐备"))))))))))</x:f>
      </x:c>
    </x:row>
    <x:row r="125" ht="3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10" t="str">
        <x:f>IF(COUNTA(A125:P125)=0,"",IF(OR(A125="",B125="",C125="",D125="",E125="",F125="",G125="",H125="",I125="",J125="",K125="",L125="",M125="",N125="",O125=""),"缺必填",IF(COUNTIF($A$2:$A$201,A125)&gt;1,"ID重复",IF(COUNTIF('案件'!$A$2:$A$201,B125)&lt;&gt;1,"案件ID无效",IF(D125=E125,"A与B任务相同",IF(OR(COUNTIF('任务登记'!$A$2:$A$201,D125)&lt;&gt;1,COUNTIF('任务登记'!$A$2:$A$201,E125)&lt;&gt;1),"裁决任务ID无效",IF(OR(INDEX('任务登记'!$B$2:$B$201,MATCH(D125,'任务登记'!$A$2:$A$201,0))&lt;&gt;B125,INDEX('任务登记'!$B$2:$B$201,MATCH(E125,'任务登记'!$A$2:$A$201,0))&lt;&gt;B125),"裁决任务跨案",IF(OR(INDEX('任务登记'!$F$2:$F$201,MATCH(D125,'任务登记'!$A$2:$A$201,0))&lt;&gt;"A",INDEX('任务登记'!$F$2:$F$201,MATCH(E125,'任务登记'!$A$2:$A$201,0))&lt;&gt;"B"),"裁决角色不符",IF(INDEX('任务登记'!$E$2:$E$201,MATCH(D125,'任务登记'!$A$2:$A$201,0))=INDEX('任务登记'!$E$2:$E$201,MATCH(E125,'任务登记'!$A$2:$A$201,0)),"A与B为同一人",IF(OR(M125=INDEX('任务登记'!$E$2:$E$201,MATCH(D125,'任务登记'!$A$2:$A$201,0)),M125=INDEX('任务登记'!$E$2:$E$201,MATCH(E125,'任务登记'!$A$2:$A$201,0))),"裁决者参与原标注","字段齐备"))))))))))</x:f>
      </x:c>
    </x:row>
    <x:row r="126" ht="3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10" t="str">
        <x:f>IF(COUNTA(A126:P126)=0,"",IF(OR(A126="",B126="",C126="",D126="",E126="",F126="",G126="",H126="",I126="",J126="",K126="",L126="",M126="",N126="",O126=""),"缺必填",IF(COUNTIF($A$2:$A$201,A126)&gt;1,"ID重复",IF(COUNTIF('案件'!$A$2:$A$201,B126)&lt;&gt;1,"案件ID无效",IF(D126=E126,"A与B任务相同",IF(OR(COUNTIF('任务登记'!$A$2:$A$201,D126)&lt;&gt;1,COUNTIF('任务登记'!$A$2:$A$201,E126)&lt;&gt;1),"裁决任务ID无效",IF(OR(INDEX('任务登记'!$B$2:$B$201,MATCH(D126,'任务登记'!$A$2:$A$201,0))&lt;&gt;B126,INDEX('任务登记'!$B$2:$B$201,MATCH(E126,'任务登记'!$A$2:$A$201,0))&lt;&gt;B126),"裁决任务跨案",IF(OR(INDEX('任务登记'!$F$2:$F$201,MATCH(D126,'任务登记'!$A$2:$A$201,0))&lt;&gt;"A",INDEX('任务登记'!$F$2:$F$201,MATCH(E126,'任务登记'!$A$2:$A$201,0))&lt;&gt;"B"),"裁决角色不符",IF(INDEX('任务登记'!$E$2:$E$201,MATCH(D126,'任务登记'!$A$2:$A$201,0))=INDEX('任务登记'!$E$2:$E$201,MATCH(E126,'任务登记'!$A$2:$A$201,0)),"A与B为同一人",IF(OR(M126=INDEX('任务登记'!$E$2:$E$201,MATCH(D126,'任务登记'!$A$2:$A$201,0)),M126=INDEX('任务登记'!$E$2:$E$201,MATCH(E126,'任务登记'!$A$2:$A$201,0))),"裁决者参与原标注","字段齐备"))))))))))</x:f>
      </x:c>
    </x:row>
    <x:row r="127" ht="3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10" t="str">
        <x:f>IF(COUNTA(A127:P127)=0,"",IF(OR(A127="",B127="",C127="",D127="",E127="",F127="",G127="",H127="",I127="",J127="",K127="",L127="",M127="",N127="",O127=""),"缺必填",IF(COUNTIF($A$2:$A$201,A127)&gt;1,"ID重复",IF(COUNTIF('案件'!$A$2:$A$201,B127)&lt;&gt;1,"案件ID无效",IF(D127=E127,"A与B任务相同",IF(OR(COUNTIF('任务登记'!$A$2:$A$201,D127)&lt;&gt;1,COUNTIF('任务登记'!$A$2:$A$201,E127)&lt;&gt;1),"裁决任务ID无效",IF(OR(INDEX('任务登记'!$B$2:$B$201,MATCH(D127,'任务登记'!$A$2:$A$201,0))&lt;&gt;B127,INDEX('任务登记'!$B$2:$B$201,MATCH(E127,'任务登记'!$A$2:$A$201,0))&lt;&gt;B127),"裁决任务跨案",IF(OR(INDEX('任务登记'!$F$2:$F$201,MATCH(D127,'任务登记'!$A$2:$A$201,0))&lt;&gt;"A",INDEX('任务登记'!$F$2:$F$201,MATCH(E127,'任务登记'!$A$2:$A$201,0))&lt;&gt;"B"),"裁决角色不符",IF(INDEX('任务登记'!$E$2:$E$201,MATCH(D127,'任务登记'!$A$2:$A$201,0))=INDEX('任务登记'!$E$2:$E$201,MATCH(E127,'任务登记'!$A$2:$A$201,0)),"A与B为同一人",IF(OR(M127=INDEX('任务登记'!$E$2:$E$201,MATCH(D127,'任务登记'!$A$2:$A$201,0)),M127=INDEX('任务登记'!$E$2:$E$201,MATCH(E127,'任务登记'!$A$2:$A$201,0))),"裁决者参与原标注","字段齐备"))))))))))</x:f>
      </x:c>
    </x:row>
    <x:row r="128" ht="3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10" t="str">
        <x:f>IF(COUNTA(A128:P128)=0,"",IF(OR(A128="",B128="",C128="",D128="",E128="",F128="",G128="",H128="",I128="",J128="",K128="",L128="",M128="",N128="",O128=""),"缺必填",IF(COUNTIF($A$2:$A$201,A128)&gt;1,"ID重复",IF(COUNTIF('案件'!$A$2:$A$201,B128)&lt;&gt;1,"案件ID无效",IF(D128=E128,"A与B任务相同",IF(OR(COUNTIF('任务登记'!$A$2:$A$201,D128)&lt;&gt;1,COUNTIF('任务登记'!$A$2:$A$201,E128)&lt;&gt;1),"裁决任务ID无效",IF(OR(INDEX('任务登记'!$B$2:$B$201,MATCH(D128,'任务登记'!$A$2:$A$201,0))&lt;&gt;B128,INDEX('任务登记'!$B$2:$B$201,MATCH(E128,'任务登记'!$A$2:$A$201,0))&lt;&gt;B128),"裁决任务跨案",IF(OR(INDEX('任务登记'!$F$2:$F$201,MATCH(D128,'任务登记'!$A$2:$A$201,0))&lt;&gt;"A",INDEX('任务登记'!$F$2:$F$201,MATCH(E128,'任务登记'!$A$2:$A$201,0))&lt;&gt;"B"),"裁决角色不符",IF(INDEX('任务登记'!$E$2:$E$201,MATCH(D128,'任务登记'!$A$2:$A$201,0))=INDEX('任务登记'!$E$2:$E$201,MATCH(E128,'任务登记'!$A$2:$A$201,0)),"A与B为同一人",IF(OR(M128=INDEX('任务登记'!$E$2:$E$201,MATCH(D128,'任务登记'!$A$2:$A$201,0)),M128=INDEX('任务登记'!$E$2:$E$201,MATCH(E128,'任务登记'!$A$2:$A$201,0))),"裁决者参与原标注","字段齐备"))))))))))</x:f>
      </x:c>
    </x:row>
    <x:row r="129" ht="3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10" t="str">
        <x:f>IF(COUNTA(A129:P129)=0,"",IF(OR(A129="",B129="",C129="",D129="",E129="",F129="",G129="",H129="",I129="",J129="",K129="",L129="",M129="",N129="",O129=""),"缺必填",IF(COUNTIF($A$2:$A$201,A129)&gt;1,"ID重复",IF(COUNTIF('案件'!$A$2:$A$201,B129)&lt;&gt;1,"案件ID无效",IF(D129=E129,"A与B任务相同",IF(OR(COUNTIF('任务登记'!$A$2:$A$201,D129)&lt;&gt;1,COUNTIF('任务登记'!$A$2:$A$201,E129)&lt;&gt;1),"裁决任务ID无效",IF(OR(INDEX('任务登记'!$B$2:$B$201,MATCH(D129,'任务登记'!$A$2:$A$201,0))&lt;&gt;B129,INDEX('任务登记'!$B$2:$B$201,MATCH(E129,'任务登记'!$A$2:$A$201,0))&lt;&gt;B129),"裁决任务跨案",IF(OR(INDEX('任务登记'!$F$2:$F$201,MATCH(D129,'任务登记'!$A$2:$A$201,0))&lt;&gt;"A",INDEX('任务登记'!$F$2:$F$201,MATCH(E129,'任务登记'!$A$2:$A$201,0))&lt;&gt;"B"),"裁决角色不符",IF(INDEX('任务登记'!$E$2:$E$201,MATCH(D129,'任务登记'!$A$2:$A$201,0))=INDEX('任务登记'!$E$2:$E$201,MATCH(E129,'任务登记'!$A$2:$A$201,0)),"A与B为同一人",IF(OR(M129=INDEX('任务登记'!$E$2:$E$201,MATCH(D129,'任务登记'!$A$2:$A$201,0)),M129=INDEX('任务登记'!$E$2:$E$201,MATCH(E129,'任务登记'!$A$2:$A$201,0))),"裁决者参与原标注","字段齐备"))))))))))</x:f>
      </x:c>
    </x:row>
    <x:row r="130" ht="3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10" t="str">
        <x:f>IF(COUNTA(A130:P130)=0,"",IF(OR(A130="",B130="",C130="",D130="",E130="",F130="",G130="",H130="",I130="",J130="",K130="",L130="",M130="",N130="",O130=""),"缺必填",IF(COUNTIF($A$2:$A$201,A130)&gt;1,"ID重复",IF(COUNTIF('案件'!$A$2:$A$201,B130)&lt;&gt;1,"案件ID无效",IF(D130=E130,"A与B任务相同",IF(OR(COUNTIF('任务登记'!$A$2:$A$201,D130)&lt;&gt;1,COUNTIF('任务登记'!$A$2:$A$201,E130)&lt;&gt;1),"裁决任务ID无效",IF(OR(INDEX('任务登记'!$B$2:$B$201,MATCH(D130,'任务登记'!$A$2:$A$201,0))&lt;&gt;B130,INDEX('任务登记'!$B$2:$B$201,MATCH(E130,'任务登记'!$A$2:$A$201,0))&lt;&gt;B130),"裁决任务跨案",IF(OR(INDEX('任务登记'!$F$2:$F$201,MATCH(D130,'任务登记'!$A$2:$A$201,0))&lt;&gt;"A",INDEX('任务登记'!$F$2:$F$201,MATCH(E130,'任务登记'!$A$2:$A$201,0))&lt;&gt;"B"),"裁决角色不符",IF(INDEX('任务登记'!$E$2:$E$201,MATCH(D130,'任务登记'!$A$2:$A$201,0))=INDEX('任务登记'!$E$2:$E$201,MATCH(E130,'任务登记'!$A$2:$A$201,0)),"A与B为同一人",IF(OR(M130=INDEX('任务登记'!$E$2:$E$201,MATCH(D130,'任务登记'!$A$2:$A$201,0)),M130=INDEX('任务登记'!$E$2:$E$201,MATCH(E130,'任务登记'!$A$2:$A$201,0))),"裁决者参与原标注","字段齐备"))))))))))</x:f>
      </x:c>
    </x:row>
    <x:row r="131" ht="3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10" t="str">
        <x:f>IF(COUNTA(A131:P131)=0,"",IF(OR(A131="",B131="",C131="",D131="",E131="",F131="",G131="",H131="",I131="",J131="",K131="",L131="",M131="",N131="",O131=""),"缺必填",IF(COUNTIF($A$2:$A$201,A131)&gt;1,"ID重复",IF(COUNTIF('案件'!$A$2:$A$201,B131)&lt;&gt;1,"案件ID无效",IF(D131=E131,"A与B任务相同",IF(OR(COUNTIF('任务登记'!$A$2:$A$201,D131)&lt;&gt;1,COUNTIF('任务登记'!$A$2:$A$201,E131)&lt;&gt;1),"裁决任务ID无效",IF(OR(INDEX('任务登记'!$B$2:$B$201,MATCH(D131,'任务登记'!$A$2:$A$201,0))&lt;&gt;B131,INDEX('任务登记'!$B$2:$B$201,MATCH(E131,'任务登记'!$A$2:$A$201,0))&lt;&gt;B131),"裁决任务跨案",IF(OR(INDEX('任务登记'!$F$2:$F$201,MATCH(D131,'任务登记'!$A$2:$A$201,0))&lt;&gt;"A",INDEX('任务登记'!$F$2:$F$201,MATCH(E131,'任务登记'!$A$2:$A$201,0))&lt;&gt;"B"),"裁决角色不符",IF(INDEX('任务登记'!$E$2:$E$201,MATCH(D131,'任务登记'!$A$2:$A$201,0))=INDEX('任务登记'!$E$2:$E$201,MATCH(E131,'任务登记'!$A$2:$A$201,0)),"A与B为同一人",IF(OR(M131=INDEX('任务登记'!$E$2:$E$201,MATCH(D131,'任务登记'!$A$2:$A$201,0)),M131=INDEX('任务登记'!$E$2:$E$201,MATCH(E131,'任务登记'!$A$2:$A$201,0))),"裁决者参与原标注","字段齐备"))))))))))</x:f>
      </x:c>
    </x:row>
    <x:row r="132" ht="3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10" t="str">
        <x:f>IF(COUNTA(A132:P132)=0,"",IF(OR(A132="",B132="",C132="",D132="",E132="",F132="",G132="",H132="",I132="",J132="",K132="",L132="",M132="",N132="",O132=""),"缺必填",IF(COUNTIF($A$2:$A$201,A132)&gt;1,"ID重复",IF(COUNTIF('案件'!$A$2:$A$201,B132)&lt;&gt;1,"案件ID无效",IF(D132=E132,"A与B任务相同",IF(OR(COUNTIF('任务登记'!$A$2:$A$201,D132)&lt;&gt;1,COUNTIF('任务登记'!$A$2:$A$201,E132)&lt;&gt;1),"裁决任务ID无效",IF(OR(INDEX('任务登记'!$B$2:$B$201,MATCH(D132,'任务登记'!$A$2:$A$201,0))&lt;&gt;B132,INDEX('任务登记'!$B$2:$B$201,MATCH(E132,'任务登记'!$A$2:$A$201,0))&lt;&gt;B132),"裁决任务跨案",IF(OR(INDEX('任务登记'!$F$2:$F$201,MATCH(D132,'任务登记'!$A$2:$A$201,0))&lt;&gt;"A",INDEX('任务登记'!$F$2:$F$201,MATCH(E132,'任务登记'!$A$2:$A$201,0))&lt;&gt;"B"),"裁决角色不符",IF(INDEX('任务登记'!$E$2:$E$201,MATCH(D132,'任务登记'!$A$2:$A$201,0))=INDEX('任务登记'!$E$2:$E$201,MATCH(E132,'任务登记'!$A$2:$A$201,0)),"A与B为同一人",IF(OR(M132=INDEX('任务登记'!$E$2:$E$201,MATCH(D132,'任务登记'!$A$2:$A$201,0)),M132=INDEX('任务登记'!$E$2:$E$201,MATCH(E132,'任务登记'!$A$2:$A$201,0))),"裁决者参与原标注","字段齐备"))))))))))</x:f>
      </x:c>
    </x:row>
    <x:row r="133" ht="3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10" t="str">
        <x:f>IF(COUNTA(A133:P133)=0,"",IF(OR(A133="",B133="",C133="",D133="",E133="",F133="",G133="",H133="",I133="",J133="",K133="",L133="",M133="",N133="",O133=""),"缺必填",IF(COUNTIF($A$2:$A$201,A133)&gt;1,"ID重复",IF(COUNTIF('案件'!$A$2:$A$201,B133)&lt;&gt;1,"案件ID无效",IF(D133=E133,"A与B任务相同",IF(OR(COUNTIF('任务登记'!$A$2:$A$201,D133)&lt;&gt;1,COUNTIF('任务登记'!$A$2:$A$201,E133)&lt;&gt;1),"裁决任务ID无效",IF(OR(INDEX('任务登记'!$B$2:$B$201,MATCH(D133,'任务登记'!$A$2:$A$201,0))&lt;&gt;B133,INDEX('任务登记'!$B$2:$B$201,MATCH(E133,'任务登记'!$A$2:$A$201,0))&lt;&gt;B133),"裁决任务跨案",IF(OR(INDEX('任务登记'!$F$2:$F$201,MATCH(D133,'任务登记'!$A$2:$A$201,0))&lt;&gt;"A",INDEX('任务登记'!$F$2:$F$201,MATCH(E133,'任务登记'!$A$2:$A$201,0))&lt;&gt;"B"),"裁决角色不符",IF(INDEX('任务登记'!$E$2:$E$201,MATCH(D133,'任务登记'!$A$2:$A$201,0))=INDEX('任务登记'!$E$2:$E$201,MATCH(E133,'任务登记'!$A$2:$A$201,0)),"A与B为同一人",IF(OR(M133=INDEX('任务登记'!$E$2:$E$201,MATCH(D133,'任务登记'!$A$2:$A$201,0)),M133=INDEX('任务登记'!$E$2:$E$201,MATCH(E133,'任务登记'!$A$2:$A$201,0))),"裁决者参与原标注","字段齐备"))))))))))</x:f>
      </x:c>
    </x:row>
    <x:row r="134" ht="3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10" t="str">
        <x:f>IF(COUNTA(A134:P134)=0,"",IF(OR(A134="",B134="",C134="",D134="",E134="",F134="",G134="",H134="",I134="",J134="",K134="",L134="",M134="",N134="",O134=""),"缺必填",IF(COUNTIF($A$2:$A$201,A134)&gt;1,"ID重复",IF(COUNTIF('案件'!$A$2:$A$201,B134)&lt;&gt;1,"案件ID无效",IF(D134=E134,"A与B任务相同",IF(OR(COUNTIF('任务登记'!$A$2:$A$201,D134)&lt;&gt;1,COUNTIF('任务登记'!$A$2:$A$201,E134)&lt;&gt;1),"裁决任务ID无效",IF(OR(INDEX('任务登记'!$B$2:$B$201,MATCH(D134,'任务登记'!$A$2:$A$201,0))&lt;&gt;B134,INDEX('任务登记'!$B$2:$B$201,MATCH(E134,'任务登记'!$A$2:$A$201,0))&lt;&gt;B134),"裁决任务跨案",IF(OR(INDEX('任务登记'!$F$2:$F$201,MATCH(D134,'任务登记'!$A$2:$A$201,0))&lt;&gt;"A",INDEX('任务登记'!$F$2:$F$201,MATCH(E134,'任务登记'!$A$2:$A$201,0))&lt;&gt;"B"),"裁决角色不符",IF(INDEX('任务登记'!$E$2:$E$201,MATCH(D134,'任务登记'!$A$2:$A$201,0))=INDEX('任务登记'!$E$2:$E$201,MATCH(E134,'任务登记'!$A$2:$A$201,0)),"A与B为同一人",IF(OR(M134=INDEX('任务登记'!$E$2:$E$201,MATCH(D134,'任务登记'!$A$2:$A$201,0)),M134=INDEX('任务登记'!$E$2:$E$201,MATCH(E134,'任务登记'!$A$2:$A$201,0))),"裁决者参与原标注","字段齐备"))))))))))</x:f>
      </x:c>
    </x:row>
    <x:row r="135" ht="3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10" t="str">
        <x:f>IF(COUNTA(A135:P135)=0,"",IF(OR(A135="",B135="",C135="",D135="",E135="",F135="",G135="",H135="",I135="",J135="",K135="",L135="",M135="",N135="",O135=""),"缺必填",IF(COUNTIF($A$2:$A$201,A135)&gt;1,"ID重复",IF(COUNTIF('案件'!$A$2:$A$201,B135)&lt;&gt;1,"案件ID无效",IF(D135=E135,"A与B任务相同",IF(OR(COUNTIF('任务登记'!$A$2:$A$201,D135)&lt;&gt;1,COUNTIF('任务登记'!$A$2:$A$201,E135)&lt;&gt;1),"裁决任务ID无效",IF(OR(INDEX('任务登记'!$B$2:$B$201,MATCH(D135,'任务登记'!$A$2:$A$201,0))&lt;&gt;B135,INDEX('任务登记'!$B$2:$B$201,MATCH(E135,'任务登记'!$A$2:$A$201,0))&lt;&gt;B135),"裁决任务跨案",IF(OR(INDEX('任务登记'!$F$2:$F$201,MATCH(D135,'任务登记'!$A$2:$A$201,0))&lt;&gt;"A",INDEX('任务登记'!$F$2:$F$201,MATCH(E135,'任务登记'!$A$2:$A$201,0))&lt;&gt;"B"),"裁决角色不符",IF(INDEX('任务登记'!$E$2:$E$201,MATCH(D135,'任务登记'!$A$2:$A$201,0))=INDEX('任务登记'!$E$2:$E$201,MATCH(E135,'任务登记'!$A$2:$A$201,0)),"A与B为同一人",IF(OR(M135=INDEX('任务登记'!$E$2:$E$201,MATCH(D135,'任务登记'!$A$2:$A$201,0)),M135=INDEX('任务登记'!$E$2:$E$201,MATCH(E135,'任务登记'!$A$2:$A$201,0))),"裁决者参与原标注","字段齐备"))))))))))</x:f>
      </x:c>
    </x:row>
    <x:row r="136" ht="3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10" t="str">
        <x:f>IF(COUNTA(A136:P136)=0,"",IF(OR(A136="",B136="",C136="",D136="",E136="",F136="",G136="",H136="",I136="",J136="",K136="",L136="",M136="",N136="",O136=""),"缺必填",IF(COUNTIF($A$2:$A$201,A136)&gt;1,"ID重复",IF(COUNTIF('案件'!$A$2:$A$201,B136)&lt;&gt;1,"案件ID无效",IF(D136=E136,"A与B任务相同",IF(OR(COUNTIF('任务登记'!$A$2:$A$201,D136)&lt;&gt;1,COUNTIF('任务登记'!$A$2:$A$201,E136)&lt;&gt;1),"裁决任务ID无效",IF(OR(INDEX('任务登记'!$B$2:$B$201,MATCH(D136,'任务登记'!$A$2:$A$201,0))&lt;&gt;B136,INDEX('任务登记'!$B$2:$B$201,MATCH(E136,'任务登记'!$A$2:$A$201,0))&lt;&gt;B136),"裁决任务跨案",IF(OR(INDEX('任务登记'!$F$2:$F$201,MATCH(D136,'任务登记'!$A$2:$A$201,0))&lt;&gt;"A",INDEX('任务登记'!$F$2:$F$201,MATCH(E136,'任务登记'!$A$2:$A$201,0))&lt;&gt;"B"),"裁决角色不符",IF(INDEX('任务登记'!$E$2:$E$201,MATCH(D136,'任务登记'!$A$2:$A$201,0))=INDEX('任务登记'!$E$2:$E$201,MATCH(E136,'任务登记'!$A$2:$A$201,0)),"A与B为同一人",IF(OR(M136=INDEX('任务登记'!$E$2:$E$201,MATCH(D136,'任务登记'!$A$2:$A$201,0)),M136=INDEX('任务登记'!$E$2:$E$201,MATCH(E136,'任务登记'!$A$2:$A$201,0))),"裁决者参与原标注","字段齐备"))))))))))</x:f>
      </x:c>
    </x:row>
    <x:row r="137" ht="3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10" t="str">
        <x:f>IF(COUNTA(A137:P137)=0,"",IF(OR(A137="",B137="",C137="",D137="",E137="",F137="",G137="",H137="",I137="",J137="",K137="",L137="",M137="",N137="",O137=""),"缺必填",IF(COUNTIF($A$2:$A$201,A137)&gt;1,"ID重复",IF(COUNTIF('案件'!$A$2:$A$201,B137)&lt;&gt;1,"案件ID无效",IF(D137=E137,"A与B任务相同",IF(OR(COUNTIF('任务登记'!$A$2:$A$201,D137)&lt;&gt;1,COUNTIF('任务登记'!$A$2:$A$201,E137)&lt;&gt;1),"裁决任务ID无效",IF(OR(INDEX('任务登记'!$B$2:$B$201,MATCH(D137,'任务登记'!$A$2:$A$201,0))&lt;&gt;B137,INDEX('任务登记'!$B$2:$B$201,MATCH(E137,'任务登记'!$A$2:$A$201,0))&lt;&gt;B137),"裁决任务跨案",IF(OR(INDEX('任务登记'!$F$2:$F$201,MATCH(D137,'任务登记'!$A$2:$A$201,0))&lt;&gt;"A",INDEX('任务登记'!$F$2:$F$201,MATCH(E137,'任务登记'!$A$2:$A$201,0))&lt;&gt;"B"),"裁决角色不符",IF(INDEX('任务登记'!$E$2:$E$201,MATCH(D137,'任务登记'!$A$2:$A$201,0))=INDEX('任务登记'!$E$2:$E$201,MATCH(E137,'任务登记'!$A$2:$A$201,0)),"A与B为同一人",IF(OR(M137=INDEX('任务登记'!$E$2:$E$201,MATCH(D137,'任务登记'!$A$2:$A$201,0)),M137=INDEX('任务登记'!$E$2:$E$201,MATCH(E137,'任务登记'!$A$2:$A$201,0))),"裁决者参与原标注","字段齐备"))))))))))</x:f>
      </x:c>
    </x:row>
    <x:row r="138" ht="3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10" t="str">
        <x:f>IF(COUNTA(A138:P138)=0,"",IF(OR(A138="",B138="",C138="",D138="",E138="",F138="",G138="",H138="",I138="",J138="",K138="",L138="",M138="",N138="",O138=""),"缺必填",IF(COUNTIF($A$2:$A$201,A138)&gt;1,"ID重复",IF(COUNTIF('案件'!$A$2:$A$201,B138)&lt;&gt;1,"案件ID无效",IF(D138=E138,"A与B任务相同",IF(OR(COUNTIF('任务登记'!$A$2:$A$201,D138)&lt;&gt;1,COUNTIF('任务登记'!$A$2:$A$201,E138)&lt;&gt;1),"裁决任务ID无效",IF(OR(INDEX('任务登记'!$B$2:$B$201,MATCH(D138,'任务登记'!$A$2:$A$201,0))&lt;&gt;B138,INDEX('任务登记'!$B$2:$B$201,MATCH(E138,'任务登记'!$A$2:$A$201,0))&lt;&gt;B138),"裁决任务跨案",IF(OR(INDEX('任务登记'!$F$2:$F$201,MATCH(D138,'任务登记'!$A$2:$A$201,0))&lt;&gt;"A",INDEX('任务登记'!$F$2:$F$201,MATCH(E138,'任务登记'!$A$2:$A$201,0))&lt;&gt;"B"),"裁决角色不符",IF(INDEX('任务登记'!$E$2:$E$201,MATCH(D138,'任务登记'!$A$2:$A$201,0))=INDEX('任务登记'!$E$2:$E$201,MATCH(E138,'任务登记'!$A$2:$A$201,0)),"A与B为同一人",IF(OR(M138=INDEX('任务登记'!$E$2:$E$201,MATCH(D138,'任务登记'!$A$2:$A$201,0)),M138=INDEX('任务登记'!$E$2:$E$201,MATCH(E138,'任务登记'!$A$2:$A$201,0))),"裁决者参与原标注","字段齐备"))))))))))</x:f>
      </x:c>
    </x:row>
    <x:row r="139" ht="3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10" t="str">
        <x:f>IF(COUNTA(A139:P139)=0,"",IF(OR(A139="",B139="",C139="",D139="",E139="",F139="",G139="",H139="",I139="",J139="",K139="",L139="",M139="",N139="",O139=""),"缺必填",IF(COUNTIF($A$2:$A$201,A139)&gt;1,"ID重复",IF(COUNTIF('案件'!$A$2:$A$201,B139)&lt;&gt;1,"案件ID无效",IF(D139=E139,"A与B任务相同",IF(OR(COUNTIF('任务登记'!$A$2:$A$201,D139)&lt;&gt;1,COUNTIF('任务登记'!$A$2:$A$201,E139)&lt;&gt;1),"裁决任务ID无效",IF(OR(INDEX('任务登记'!$B$2:$B$201,MATCH(D139,'任务登记'!$A$2:$A$201,0))&lt;&gt;B139,INDEX('任务登记'!$B$2:$B$201,MATCH(E139,'任务登记'!$A$2:$A$201,0))&lt;&gt;B139),"裁决任务跨案",IF(OR(INDEX('任务登记'!$F$2:$F$201,MATCH(D139,'任务登记'!$A$2:$A$201,0))&lt;&gt;"A",INDEX('任务登记'!$F$2:$F$201,MATCH(E139,'任务登记'!$A$2:$A$201,0))&lt;&gt;"B"),"裁决角色不符",IF(INDEX('任务登记'!$E$2:$E$201,MATCH(D139,'任务登记'!$A$2:$A$201,0))=INDEX('任务登记'!$E$2:$E$201,MATCH(E139,'任务登记'!$A$2:$A$201,0)),"A与B为同一人",IF(OR(M139=INDEX('任务登记'!$E$2:$E$201,MATCH(D139,'任务登记'!$A$2:$A$201,0)),M139=INDEX('任务登记'!$E$2:$E$201,MATCH(E139,'任务登记'!$A$2:$A$201,0))),"裁决者参与原标注","字段齐备"))))))))))</x:f>
      </x:c>
    </x:row>
    <x:row r="140" ht="3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10" t="str">
        <x:f>IF(COUNTA(A140:P140)=0,"",IF(OR(A140="",B140="",C140="",D140="",E140="",F140="",G140="",H140="",I140="",J140="",K140="",L140="",M140="",N140="",O140=""),"缺必填",IF(COUNTIF($A$2:$A$201,A140)&gt;1,"ID重复",IF(COUNTIF('案件'!$A$2:$A$201,B140)&lt;&gt;1,"案件ID无效",IF(D140=E140,"A与B任务相同",IF(OR(COUNTIF('任务登记'!$A$2:$A$201,D140)&lt;&gt;1,COUNTIF('任务登记'!$A$2:$A$201,E140)&lt;&gt;1),"裁决任务ID无效",IF(OR(INDEX('任务登记'!$B$2:$B$201,MATCH(D140,'任务登记'!$A$2:$A$201,0))&lt;&gt;B140,INDEX('任务登记'!$B$2:$B$201,MATCH(E140,'任务登记'!$A$2:$A$201,0))&lt;&gt;B140),"裁决任务跨案",IF(OR(INDEX('任务登记'!$F$2:$F$201,MATCH(D140,'任务登记'!$A$2:$A$201,0))&lt;&gt;"A",INDEX('任务登记'!$F$2:$F$201,MATCH(E140,'任务登记'!$A$2:$A$201,0))&lt;&gt;"B"),"裁决角色不符",IF(INDEX('任务登记'!$E$2:$E$201,MATCH(D140,'任务登记'!$A$2:$A$201,0))=INDEX('任务登记'!$E$2:$E$201,MATCH(E140,'任务登记'!$A$2:$A$201,0)),"A与B为同一人",IF(OR(M140=INDEX('任务登记'!$E$2:$E$201,MATCH(D140,'任务登记'!$A$2:$A$201,0)),M140=INDEX('任务登记'!$E$2:$E$201,MATCH(E140,'任务登记'!$A$2:$A$201,0))),"裁决者参与原标注","字段齐备"))))))))))</x:f>
      </x:c>
    </x:row>
    <x:row r="141" ht="3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10" t="str">
        <x:f>IF(COUNTA(A141:P141)=0,"",IF(OR(A141="",B141="",C141="",D141="",E141="",F141="",G141="",H141="",I141="",J141="",K141="",L141="",M141="",N141="",O141=""),"缺必填",IF(COUNTIF($A$2:$A$201,A141)&gt;1,"ID重复",IF(COUNTIF('案件'!$A$2:$A$201,B141)&lt;&gt;1,"案件ID无效",IF(D141=E141,"A与B任务相同",IF(OR(COUNTIF('任务登记'!$A$2:$A$201,D141)&lt;&gt;1,COUNTIF('任务登记'!$A$2:$A$201,E141)&lt;&gt;1),"裁决任务ID无效",IF(OR(INDEX('任务登记'!$B$2:$B$201,MATCH(D141,'任务登记'!$A$2:$A$201,0))&lt;&gt;B141,INDEX('任务登记'!$B$2:$B$201,MATCH(E141,'任务登记'!$A$2:$A$201,0))&lt;&gt;B141),"裁决任务跨案",IF(OR(INDEX('任务登记'!$F$2:$F$201,MATCH(D141,'任务登记'!$A$2:$A$201,0))&lt;&gt;"A",INDEX('任务登记'!$F$2:$F$201,MATCH(E141,'任务登记'!$A$2:$A$201,0))&lt;&gt;"B"),"裁决角色不符",IF(INDEX('任务登记'!$E$2:$E$201,MATCH(D141,'任务登记'!$A$2:$A$201,0))=INDEX('任务登记'!$E$2:$E$201,MATCH(E141,'任务登记'!$A$2:$A$201,0)),"A与B为同一人",IF(OR(M141=INDEX('任务登记'!$E$2:$E$201,MATCH(D141,'任务登记'!$A$2:$A$201,0)),M141=INDEX('任务登记'!$E$2:$E$201,MATCH(E141,'任务登记'!$A$2:$A$201,0))),"裁决者参与原标注","字段齐备"))))))))))</x:f>
      </x:c>
    </x:row>
    <x:row r="142" ht="3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10" t="str">
        <x:f>IF(COUNTA(A142:P142)=0,"",IF(OR(A142="",B142="",C142="",D142="",E142="",F142="",G142="",H142="",I142="",J142="",K142="",L142="",M142="",N142="",O142=""),"缺必填",IF(COUNTIF($A$2:$A$201,A142)&gt;1,"ID重复",IF(COUNTIF('案件'!$A$2:$A$201,B142)&lt;&gt;1,"案件ID无效",IF(D142=E142,"A与B任务相同",IF(OR(COUNTIF('任务登记'!$A$2:$A$201,D142)&lt;&gt;1,COUNTIF('任务登记'!$A$2:$A$201,E142)&lt;&gt;1),"裁决任务ID无效",IF(OR(INDEX('任务登记'!$B$2:$B$201,MATCH(D142,'任务登记'!$A$2:$A$201,0))&lt;&gt;B142,INDEX('任务登记'!$B$2:$B$201,MATCH(E142,'任务登记'!$A$2:$A$201,0))&lt;&gt;B142),"裁决任务跨案",IF(OR(INDEX('任务登记'!$F$2:$F$201,MATCH(D142,'任务登记'!$A$2:$A$201,0))&lt;&gt;"A",INDEX('任务登记'!$F$2:$F$201,MATCH(E142,'任务登记'!$A$2:$A$201,0))&lt;&gt;"B"),"裁决角色不符",IF(INDEX('任务登记'!$E$2:$E$201,MATCH(D142,'任务登记'!$A$2:$A$201,0))=INDEX('任务登记'!$E$2:$E$201,MATCH(E142,'任务登记'!$A$2:$A$201,0)),"A与B为同一人",IF(OR(M142=INDEX('任务登记'!$E$2:$E$201,MATCH(D142,'任务登记'!$A$2:$A$201,0)),M142=INDEX('任务登记'!$E$2:$E$201,MATCH(E142,'任务登记'!$A$2:$A$201,0))),"裁决者参与原标注","字段齐备"))))))))))</x:f>
      </x:c>
    </x:row>
    <x:row r="143" ht="3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10" t="str">
        <x:f>IF(COUNTA(A143:P143)=0,"",IF(OR(A143="",B143="",C143="",D143="",E143="",F143="",G143="",H143="",I143="",J143="",K143="",L143="",M143="",N143="",O143=""),"缺必填",IF(COUNTIF($A$2:$A$201,A143)&gt;1,"ID重复",IF(COUNTIF('案件'!$A$2:$A$201,B143)&lt;&gt;1,"案件ID无效",IF(D143=E143,"A与B任务相同",IF(OR(COUNTIF('任务登记'!$A$2:$A$201,D143)&lt;&gt;1,COUNTIF('任务登记'!$A$2:$A$201,E143)&lt;&gt;1),"裁决任务ID无效",IF(OR(INDEX('任务登记'!$B$2:$B$201,MATCH(D143,'任务登记'!$A$2:$A$201,0))&lt;&gt;B143,INDEX('任务登记'!$B$2:$B$201,MATCH(E143,'任务登记'!$A$2:$A$201,0))&lt;&gt;B143),"裁决任务跨案",IF(OR(INDEX('任务登记'!$F$2:$F$201,MATCH(D143,'任务登记'!$A$2:$A$201,0))&lt;&gt;"A",INDEX('任务登记'!$F$2:$F$201,MATCH(E143,'任务登记'!$A$2:$A$201,0))&lt;&gt;"B"),"裁决角色不符",IF(INDEX('任务登记'!$E$2:$E$201,MATCH(D143,'任务登记'!$A$2:$A$201,0))=INDEX('任务登记'!$E$2:$E$201,MATCH(E143,'任务登记'!$A$2:$A$201,0)),"A与B为同一人",IF(OR(M143=INDEX('任务登记'!$E$2:$E$201,MATCH(D143,'任务登记'!$A$2:$A$201,0)),M143=INDEX('任务登记'!$E$2:$E$201,MATCH(E143,'任务登记'!$A$2:$A$201,0))),"裁决者参与原标注","字段齐备"))))))))))</x:f>
      </x:c>
    </x:row>
    <x:row r="144" ht="3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10" t="str">
        <x:f>IF(COUNTA(A144:P144)=0,"",IF(OR(A144="",B144="",C144="",D144="",E144="",F144="",G144="",H144="",I144="",J144="",K144="",L144="",M144="",N144="",O144=""),"缺必填",IF(COUNTIF($A$2:$A$201,A144)&gt;1,"ID重复",IF(COUNTIF('案件'!$A$2:$A$201,B144)&lt;&gt;1,"案件ID无效",IF(D144=E144,"A与B任务相同",IF(OR(COUNTIF('任务登记'!$A$2:$A$201,D144)&lt;&gt;1,COUNTIF('任务登记'!$A$2:$A$201,E144)&lt;&gt;1),"裁决任务ID无效",IF(OR(INDEX('任务登记'!$B$2:$B$201,MATCH(D144,'任务登记'!$A$2:$A$201,0))&lt;&gt;B144,INDEX('任务登记'!$B$2:$B$201,MATCH(E144,'任务登记'!$A$2:$A$201,0))&lt;&gt;B144),"裁决任务跨案",IF(OR(INDEX('任务登记'!$F$2:$F$201,MATCH(D144,'任务登记'!$A$2:$A$201,0))&lt;&gt;"A",INDEX('任务登记'!$F$2:$F$201,MATCH(E144,'任务登记'!$A$2:$A$201,0))&lt;&gt;"B"),"裁决角色不符",IF(INDEX('任务登记'!$E$2:$E$201,MATCH(D144,'任务登记'!$A$2:$A$201,0))=INDEX('任务登记'!$E$2:$E$201,MATCH(E144,'任务登记'!$A$2:$A$201,0)),"A与B为同一人",IF(OR(M144=INDEX('任务登记'!$E$2:$E$201,MATCH(D144,'任务登记'!$A$2:$A$201,0)),M144=INDEX('任务登记'!$E$2:$E$201,MATCH(E144,'任务登记'!$A$2:$A$201,0))),"裁决者参与原标注","字段齐备"))))))))))</x:f>
      </x:c>
    </x:row>
    <x:row r="145" ht="3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10" t="str">
        <x:f>IF(COUNTA(A145:P145)=0,"",IF(OR(A145="",B145="",C145="",D145="",E145="",F145="",G145="",H145="",I145="",J145="",K145="",L145="",M145="",N145="",O145=""),"缺必填",IF(COUNTIF($A$2:$A$201,A145)&gt;1,"ID重复",IF(COUNTIF('案件'!$A$2:$A$201,B145)&lt;&gt;1,"案件ID无效",IF(D145=E145,"A与B任务相同",IF(OR(COUNTIF('任务登记'!$A$2:$A$201,D145)&lt;&gt;1,COUNTIF('任务登记'!$A$2:$A$201,E145)&lt;&gt;1),"裁决任务ID无效",IF(OR(INDEX('任务登记'!$B$2:$B$201,MATCH(D145,'任务登记'!$A$2:$A$201,0))&lt;&gt;B145,INDEX('任务登记'!$B$2:$B$201,MATCH(E145,'任务登记'!$A$2:$A$201,0))&lt;&gt;B145),"裁决任务跨案",IF(OR(INDEX('任务登记'!$F$2:$F$201,MATCH(D145,'任务登记'!$A$2:$A$201,0))&lt;&gt;"A",INDEX('任务登记'!$F$2:$F$201,MATCH(E145,'任务登记'!$A$2:$A$201,0))&lt;&gt;"B"),"裁决角色不符",IF(INDEX('任务登记'!$E$2:$E$201,MATCH(D145,'任务登记'!$A$2:$A$201,0))=INDEX('任务登记'!$E$2:$E$201,MATCH(E145,'任务登记'!$A$2:$A$201,0)),"A与B为同一人",IF(OR(M145=INDEX('任务登记'!$E$2:$E$201,MATCH(D145,'任务登记'!$A$2:$A$201,0)),M145=INDEX('任务登记'!$E$2:$E$201,MATCH(E145,'任务登记'!$A$2:$A$201,0))),"裁决者参与原标注","字段齐备"))))))))))</x:f>
      </x:c>
    </x:row>
    <x:row r="146" ht="3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10" t="str">
        <x:f>IF(COUNTA(A146:P146)=0,"",IF(OR(A146="",B146="",C146="",D146="",E146="",F146="",G146="",H146="",I146="",J146="",K146="",L146="",M146="",N146="",O146=""),"缺必填",IF(COUNTIF($A$2:$A$201,A146)&gt;1,"ID重复",IF(COUNTIF('案件'!$A$2:$A$201,B146)&lt;&gt;1,"案件ID无效",IF(D146=E146,"A与B任务相同",IF(OR(COUNTIF('任务登记'!$A$2:$A$201,D146)&lt;&gt;1,COUNTIF('任务登记'!$A$2:$A$201,E146)&lt;&gt;1),"裁决任务ID无效",IF(OR(INDEX('任务登记'!$B$2:$B$201,MATCH(D146,'任务登记'!$A$2:$A$201,0))&lt;&gt;B146,INDEX('任务登记'!$B$2:$B$201,MATCH(E146,'任务登记'!$A$2:$A$201,0))&lt;&gt;B146),"裁决任务跨案",IF(OR(INDEX('任务登记'!$F$2:$F$201,MATCH(D146,'任务登记'!$A$2:$A$201,0))&lt;&gt;"A",INDEX('任务登记'!$F$2:$F$201,MATCH(E146,'任务登记'!$A$2:$A$201,0))&lt;&gt;"B"),"裁决角色不符",IF(INDEX('任务登记'!$E$2:$E$201,MATCH(D146,'任务登记'!$A$2:$A$201,0))=INDEX('任务登记'!$E$2:$E$201,MATCH(E146,'任务登记'!$A$2:$A$201,0)),"A与B为同一人",IF(OR(M146=INDEX('任务登记'!$E$2:$E$201,MATCH(D146,'任务登记'!$A$2:$A$201,0)),M146=INDEX('任务登记'!$E$2:$E$201,MATCH(E146,'任务登记'!$A$2:$A$201,0))),"裁决者参与原标注","字段齐备"))))))))))</x:f>
      </x:c>
    </x:row>
    <x:row r="147" ht="3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10" t="str">
        <x:f>IF(COUNTA(A147:P147)=0,"",IF(OR(A147="",B147="",C147="",D147="",E147="",F147="",G147="",H147="",I147="",J147="",K147="",L147="",M147="",N147="",O147=""),"缺必填",IF(COUNTIF($A$2:$A$201,A147)&gt;1,"ID重复",IF(COUNTIF('案件'!$A$2:$A$201,B147)&lt;&gt;1,"案件ID无效",IF(D147=E147,"A与B任务相同",IF(OR(COUNTIF('任务登记'!$A$2:$A$201,D147)&lt;&gt;1,COUNTIF('任务登记'!$A$2:$A$201,E147)&lt;&gt;1),"裁决任务ID无效",IF(OR(INDEX('任务登记'!$B$2:$B$201,MATCH(D147,'任务登记'!$A$2:$A$201,0))&lt;&gt;B147,INDEX('任务登记'!$B$2:$B$201,MATCH(E147,'任务登记'!$A$2:$A$201,0))&lt;&gt;B147),"裁决任务跨案",IF(OR(INDEX('任务登记'!$F$2:$F$201,MATCH(D147,'任务登记'!$A$2:$A$201,0))&lt;&gt;"A",INDEX('任务登记'!$F$2:$F$201,MATCH(E147,'任务登记'!$A$2:$A$201,0))&lt;&gt;"B"),"裁决角色不符",IF(INDEX('任务登记'!$E$2:$E$201,MATCH(D147,'任务登记'!$A$2:$A$201,0))=INDEX('任务登记'!$E$2:$E$201,MATCH(E147,'任务登记'!$A$2:$A$201,0)),"A与B为同一人",IF(OR(M147=INDEX('任务登记'!$E$2:$E$201,MATCH(D147,'任务登记'!$A$2:$A$201,0)),M147=INDEX('任务登记'!$E$2:$E$201,MATCH(E147,'任务登记'!$A$2:$A$201,0))),"裁决者参与原标注","字段齐备"))))))))))</x:f>
      </x:c>
    </x:row>
    <x:row r="148" ht="3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10" t="str">
        <x:f>IF(COUNTA(A148:P148)=0,"",IF(OR(A148="",B148="",C148="",D148="",E148="",F148="",G148="",H148="",I148="",J148="",K148="",L148="",M148="",N148="",O148=""),"缺必填",IF(COUNTIF($A$2:$A$201,A148)&gt;1,"ID重复",IF(COUNTIF('案件'!$A$2:$A$201,B148)&lt;&gt;1,"案件ID无效",IF(D148=E148,"A与B任务相同",IF(OR(COUNTIF('任务登记'!$A$2:$A$201,D148)&lt;&gt;1,COUNTIF('任务登记'!$A$2:$A$201,E148)&lt;&gt;1),"裁决任务ID无效",IF(OR(INDEX('任务登记'!$B$2:$B$201,MATCH(D148,'任务登记'!$A$2:$A$201,0))&lt;&gt;B148,INDEX('任务登记'!$B$2:$B$201,MATCH(E148,'任务登记'!$A$2:$A$201,0))&lt;&gt;B148),"裁决任务跨案",IF(OR(INDEX('任务登记'!$F$2:$F$201,MATCH(D148,'任务登记'!$A$2:$A$201,0))&lt;&gt;"A",INDEX('任务登记'!$F$2:$F$201,MATCH(E148,'任务登记'!$A$2:$A$201,0))&lt;&gt;"B"),"裁决角色不符",IF(INDEX('任务登记'!$E$2:$E$201,MATCH(D148,'任务登记'!$A$2:$A$201,0))=INDEX('任务登记'!$E$2:$E$201,MATCH(E148,'任务登记'!$A$2:$A$201,0)),"A与B为同一人",IF(OR(M148=INDEX('任务登记'!$E$2:$E$201,MATCH(D148,'任务登记'!$A$2:$A$201,0)),M148=INDEX('任务登记'!$E$2:$E$201,MATCH(E148,'任务登记'!$A$2:$A$201,0))),"裁决者参与原标注","字段齐备"))))))))))</x:f>
      </x:c>
    </x:row>
    <x:row r="149" ht="3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10" t="str">
        <x:f>IF(COUNTA(A149:P149)=0,"",IF(OR(A149="",B149="",C149="",D149="",E149="",F149="",G149="",H149="",I149="",J149="",K149="",L149="",M149="",N149="",O149=""),"缺必填",IF(COUNTIF($A$2:$A$201,A149)&gt;1,"ID重复",IF(COUNTIF('案件'!$A$2:$A$201,B149)&lt;&gt;1,"案件ID无效",IF(D149=E149,"A与B任务相同",IF(OR(COUNTIF('任务登记'!$A$2:$A$201,D149)&lt;&gt;1,COUNTIF('任务登记'!$A$2:$A$201,E149)&lt;&gt;1),"裁决任务ID无效",IF(OR(INDEX('任务登记'!$B$2:$B$201,MATCH(D149,'任务登记'!$A$2:$A$201,0))&lt;&gt;B149,INDEX('任务登记'!$B$2:$B$201,MATCH(E149,'任务登记'!$A$2:$A$201,0))&lt;&gt;B149),"裁决任务跨案",IF(OR(INDEX('任务登记'!$F$2:$F$201,MATCH(D149,'任务登记'!$A$2:$A$201,0))&lt;&gt;"A",INDEX('任务登记'!$F$2:$F$201,MATCH(E149,'任务登记'!$A$2:$A$201,0))&lt;&gt;"B"),"裁决角色不符",IF(INDEX('任务登记'!$E$2:$E$201,MATCH(D149,'任务登记'!$A$2:$A$201,0))=INDEX('任务登记'!$E$2:$E$201,MATCH(E149,'任务登记'!$A$2:$A$201,0)),"A与B为同一人",IF(OR(M149=INDEX('任务登记'!$E$2:$E$201,MATCH(D149,'任务登记'!$A$2:$A$201,0)),M149=INDEX('任务登记'!$E$2:$E$201,MATCH(E149,'任务登记'!$A$2:$A$201,0))),"裁决者参与原标注","字段齐备"))))))))))</x:f>
      </x:c>
    </x:row>
    <x:row r="150" ht="3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10" t="str">
        <x:f>IF(COUNTA(A150:P150)=0,"",IF(OR(A150="",B150="",C150="",D150="",E150="",F150="",G150="",H150="",I150="",J150="",K150="",L150="",M150="",N150="",O150=""),"缺必填",IF(COUNTIF($A$2:$A$201,A150)&gt;1,"ID重复",IF(COUNTIF('案件'!$A$2:$A$201,B150)&lt;&gt;1,"案件ID无效",IF(D150=E150,"A与B任务相同",IF(OR(COUNTIF('任务登记'!$A$2:$A$201,D150)&lt;&gt;1,COUNTIF('任务登记'!$A$2:$A$201,E150)&lt;&gt;1),"裁决任务ID无效",IF(OR(INDEX('任务登记'!$B$2:$B$201,MATCH(D150,'任务登记'!$A$2:$A$201,0))&lt;&gt;B150,INDEX('任务登记'!$B$2:$B$201,MATCH(E150,'任务登记'!$A$2:$A$201,0))&lt;&gt;B150),"裁决任务跨案",IF(OR(INDEX('任务登记'!$F$2:$F$201,MATCH(D150,'任务登记'!$A$2:$A$201,0))&lt;&gt;"A",INDEX('任务登记'!$F$2:$F$201,MATCH(E150,'任务登记'!$A$2:$A$201,0))&lt;&gt;"B"),"裁决角色不符",IF(INDEX('任务登记'!$E$2:$E$201,MATCH(D150,'任务登记'!$A$2:$A$201,0))=INDEX('任务登记'!$E$2:$E$201,MATCH(E150,'任务登记'!$A$2:$A$201,0)),"A与B为同一人",IF(OR(M150=INDEX('任务登记'!$E$2:$E$201,MATCH(D150,'任务登记'!$A$2:$A$201,0)),M150=INDEX('任务登记'!$E$2:$E$201,MATCH(E150,'任务登记'!$A$2:$A$201,0))),"裁决者参与原标注","字段齐备"))))))))))</x:f>
      </x:c>
    </x:row>
    <x:row r="151" ht="3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10" t="str">
        <x:f>IF(COUNTA(A151:P151)=0,"",IF(OR(A151="",B151="",C151="",D151="",E151="",F151="",G151="",H151="",I151="",J151="",K151="",L151="",M151="",N151="",O151=""),"缺必填",IF(COUNTIF($A$2:$A$201,A151)&gt;1,"ID重复",IF(COUNTIF('案件'!$A$2:$A$201,B151)&lt;&gt;1,"案件ID无效",IF(D151=E151,"A与B任务相同",IF(OR(COUNTIF('任务登记'!$A$2:$A$201,D151)&lt;&gt;1,COUNTIF('任务登记'!$A$2:$A$201,E151)&lt;&gt;1),"裁决任务ID无效",IF(OR(INDEX('任务登记'!$B$2:$B$201,MATCH(D151,'任务登记'!$A$2:$A$201,0))&lt;&gt;B151,INDEX('任务登记'!$B$2:$B$201,MATCH(E151,'任务登记'!$A$2:$A$201,0))&lt;&gt;B151),"裁决任务跨案",IF(OR(INDEX('任务登记'!$F$2:$F$201,MATCH(D151,'任务登记'!$A$2:$A$201,0))&lt;&gt;"A",INDEX('任务登记'!$F$2:$F$201,MATCH(E151,'任务登记'!$A$2:$A$201,0))&lt;&gt;"B"),"裁决角色不符",IF(INDEX('任务登记'!$E$2:$E$201,MATCH(D151,'任务登记'!$A$2:$A$201,0))=INDEX('任务登记'!$E$2:$E$201,MATCH(E151,'任务登记'!$A$2:$A$201,0)),"A与B为同一人",IF(OR(M151=INDEX('任务登记'!$E$2:$E$201,MATCH(D151,'任务登记'!$A$2:$A$201,0)),M151=INDEX('任务登记'!$E$2:$E$201,MATCH(E151,'任务登记'!$A$2:$A$201,0))),"裁决者参与原标注","字段齐备"))))))))))</x:f>
      </x:c>
    </x:row>
    <x:row r="152" ht="3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10" t="str">
        <x:f>IF(COUNTA(A152:P152)=0,"",IF(OR(A152="",B152="",C152="",D152="",E152="",F152="",G152="",H152="",I152="",J152="",K152="",L152="",M152="",N152="",O152=""),"缺必填",IF(COUNTIF($A$2:$A$201,A152)&gt;1,"ID重复",IF(COUNTIF('案件'!$A$2:$A$201,B152)&lt;&gt;1,"案件ID无效",IF(D152=E152,"A与B任务相同",IF(OR(COUNTIF('任务登记'!$A$2:$A$201,D152)&lt;&gt;1,COUNTIF('任务登记'!$A$2:$A$201,E152)&lt;&gt;1),"裁决任务ID无效",IF(OR(INDEX('任务登记'!$B$2:$B$201,MATCH(D152,'任务登记'!$A$2:$A$201,0))&lt;&gt;B152,INDEX('任务登记'!$B$2:$B$201,MATCH(E152,'任务登记'!$A$2:$A$201,0))&lt;&gt;B152),"裁决任务跨案",IF(OR(INDEX('任务登记'!$F$2:$F$201,MATCH(D152,'任务登记'!$A$2:$A$201,0))&lt;&gt;"A",INDEX('任务登记'!$F$2:$F$201,MATCH(E152,'任务登记'!$A$2:$A$201,0))&lt;&gt;"B"),"裁决角色不符",IF(INDEX('任务登记'!$E$2:$E$201,MATCH(D152,'任务登记'!$A$2:$A$201,0))=INDEX('任务登记'!$E$2:$E$201,MATCH(E152,'任务登记'!$A$2:$A$201,0)),"A与B为同一人",IF(OR(M152=INDEX('任务登记'!$E$2:$E$201,MATCH(D152,'任务登记'!$A$2:$A$201,0)),M152=INDEX('任务登记'!$E$2:$E$201,MATCH(E152,'任务登记'!$A$2:$A$201,0))),"裁决者参与原标注","字段齐备"))))))))))</x:f>
      </x:c>
    </x:row>
    <x:row r="153" ht="3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10" t="str">
        <x:f>IF(COUNTA(A153:P153)=0,"",IF(OR(A153="",B153="",C153="",D153="",E153="",F153="",G153="",H153="",I153="",J153="",K153="",L153="",M153="",N153="",O153=""),"缺必填",IF(COUNTIF($A$2:$A$201,A153)&gt;1,"ID重复",IF(COUNTIF('案件'!$A$2:$A$201,B153)&lt;&gt;1,"案件ID无效",IF(D153=E153,"A与B任务相同",IF(OR(COUNTIF('任务登记'!$A$2:$A$201,D153)&lt;&gt;1,COUNTIF('任务登记'!$A$2:$A$201,E153)&lt;&gt;1),"裁决任务ID无效",IF(OR(INDEX('任务登记'!$B$2:$B$201,MATCH(D153,'任务登记'!$A$2:$A$201,0))&lt;&gt;B153,INDEX('任务登记'!$B$2:$B$201,MATCH(E153,'任务登记'!$A$2:$A$201,0))&lt;&gt;B153),"裁决任务跨案",IF(OR(INDEX('任务登记'!$F$2:$F$201,MATCH(D153,'任务登记'!$A$2:$A$201,0))&lt;&gt;"A",INDEX('任务登记'!$F$2:$F$201,MATCH(E153,'任务登记'!$A$2:$A$201,0))&lt;&gt;"B"),"裁决角色不符",IF(INDEX('任务登记'!$E$2:$E$201,MATCH(D153,'任务登记'!$A$2:$A$201,0))=INDEX('任务登记'!$E$2:$E$201,MATCH(E153,'任务登记'!$A$2:$A$201,0)),"A与B为同一人",IF(OR(M153=INDEX('任务登记'!$E$2:$E$201,MATCH(D153,'任务登记'!$A$2:$A$201,0)),M153=INDEX('任务登记'!$E$2:$E$201,MATCH(E153,'任务登记'!$A$2:$A$201,0))),"裁决者参与原标注","字段齐备"))))))))))</x:f>
      </x:c>
    </x:row>
    <x:row r="154" ht="3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10" t="str">
        <x:f>IF(COUNTA(A154:P154)=0,"",IF(OR(A154="",B154="",C154="",D154="",E154="",F154="",G154="",H154="",I154="",J154="",K154="",L154="",M154="",N154="",O154=""),"缺必填",IF(COUNTIF($A$2:$A$201,A154)&gt;1,"ID重复",IF(COUNTIF('案件'!$A$2:$A$201,B154)&lt;&gt;1,"案件ID无效",IF(D154=E154,"A与B任务相同",IF(OR(COUNTIF('任务登记'!$A$2:$A$201,D154)&lt;&gt;1,COUNTIF('任务登记'!$A$2:$A$201,E154)&lt;&gt;1),"裁决任务ID无效",IF(OR(INDEX('任务登记'!$B$2:$B$201,MATCH(D154,'任务登记'!$A$2:$A$201,0))&lt;&gt;B154,INDEX('任务登记'!$B$2:$B$201,MATCH(E154,'任务登记'!$A$2:$A$201,0))&lt;&gt;B154),"裁决任务跨案",IF(OR(INDEX('任务登记'!$F$2:$F$201,MATCH(D154,'任务登记'!$A$2:$A$201,0))&lt;&gt;"A",INDEX('任务登记'!$F$2:$F$201,MATCH(E154,'任务登记'!$A$2:$A$201,0))&lt;&gt;"B"),"裁决角色不符",IF(INDEX('任务登记'!$E$2:$E$201,MATCH(D154,'任务登记'!$A$2:$A$201,0))=INDEX('任务登记'!$E$2:$E$201,MATCH(E154,'任务登记'!$A$2:$A$201,0)),"A与B为同一人",IF(OR(M154=INDEX('任务登记'!$E$2:$E$201,MATCH(D154,'任务登记'!$A$2:$A$201,0)),M154=INDEX('任务登记'!$E$2:$E$201,MATCH(E154,'任务登记'!$A$2:$A$201,0))),"裁决者参与原标注","字段齐备"))))))))))</x:f>
      </x:c>
    </x:row>
    <x:row r="155" ht="3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10" t="str">
        <x:f>IF(COUNTA(A155:P155)=0,"",IF(OR(A155="",B155="",C155="",D155="",E155="",F155="",G155="",H155="",I155="",J155="",K155="",L155="",M155="",N155="",O155=""),"缺必填",IF(COUNTIF($A$2:$A$201,A155)&gt;1,"ID重复",IF(COUNTIF('案件'!$A$2:$A$201,B155)&lt;&gt;1,"案件ID无效",IF(D155=E155,"A与B任务相同",IF(OR(COUNTIF('任务登记'!$A$2:$A$201,D155)&lt;&gt;1,COUNTIF('任务登记'!$A$2:$A$201,E155)&lt;&gt;1),"裁决任务ID无效",IF(OR(INDEX('任务登记'!$B$2:$B$201,MATCH(D155,'任务登记'!$A$2:$A$201,0))&lt;&gt;B155,INDEX('任务登记'!$B$2:$B$201,MATCH(E155,'任务登记'!$A$2:$A$201,0))&lt;&gt;B155),"裁决任务跨案",IF(OR(INDEX('任务登记'!$F$2:$F$201,MATCH(D155,'任务登记'!$A$2:$A$201,0))&lt;&gt;"A",INDEX('任务登记'!$F$2:$F$201,MATCH(E155,'任务登记'!$A$2:$A$201,0))&lt;&gt;"B"),"裁决角色不符",IF(INDEX('任务登记'!$E$2:$E$201,MATCH(D155,'任务登记'!$A$2:$A$201,0))=INDEX('任务登记'!$E$2:$E$201,MATCH(E155,'任务登记'!$A$2:$A$201,0)),"A与B为同一人",IF(OR(M155=INDEX('任务登记'!$E$2:$E$201,MATCH(D155,'任务登记'!$A$2:$A$201,0)),M155=INDEX('任务登记'!$E$2:$E$201,MATCH(E155,'任务登记'!$A$2:$A$201,0))),"裁决者参与原标注","字段齐备"))))))))))</x:f>
      </x:c>
    </x:row>
    <x:row r="156" ht="3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10" t="str">
        <x:f>IF(COUNTA(A156:P156)=0,"",IF(OR(A156="",B156="",C156="",D156="",E156="",F156="",G156="",H156="",I156="",J156="",K156="",L156="",M156="",N156="",O156=""),"缺必填",IF(COUNTIF($A$2:$A$201,A156)&gt;1,"ID重复",IF(COUNTIF('案件'!$A$2:$A$201,B156)&lt;&gt;1,"案件ID无效",IF(D156=E156,"A与B任务相同",IF(OR(COUNTIF('任务登记'!$A$2:$A$201,D156)&lt;&gt;1,COUNTIF('任务登记'!$A$2:$A$201,E156)&lt;&gt;1),"裁决任务ID无效",IF(OR(INDEX('任务登记'!$B$2:$B$201,MATCH(D156,'任务登记'!$A$2:$A$201,0))&lt;&gt;B156,INDEX('任务登记'!$B$2:$B$201,MATCH(E156,'任务登记'!$A$2:$A$201,0))&lt;&gt;B156),"裁决任务跨案",IF(OR(INDEX('任务登记'!$F$2:$F$201,MATCH(D156,'任务登记'!$A$2:$A$201,0))&lt;&gt;"A",INDEX('任务登记'!$F$2:$F$201,MATCH(E156,'任务登记'!$A$2:$A$201,0))&lt;&gt;"B"),"裁决角色不符",IF(INDEX('任务登记'!$E$2:$E$201,MATCH(D156,'任务登记'!$A$2:$A$201,0))=INDEX('任务登记'!$E$2:$E$201,MATCH(E156,'任务登记'!$A$2:$A$201,0)),"A与B为同一人",IF(OR(M156=INDEX('任务登记'!$E$2:$E$201,MATCH(D156,'任务登记'!$A$2:$A$201,0)),M156=INDEX('任务登记'!$E$2:$E$201,MATCH(E156,'任务登记'!$A$2:$A$201,0))),"裁决者参与原标注","字段齐备"))))))))))</x:f>
      </x:c>
    </x:row>
    <x:row r="157" ht="3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10" t="str">
        <x:f>IF(COUNTA(A157:P157)=0,"",IF(OR(A157="",B157="",C157="",D157="",E157="",F157="",G157="",H157="",I157="",J157="",K157="",L157="",M157="",N157="",O157=""),"缺必填",IF(COUNTIF($A$2:$A$201,A157)&gt;1,"ID重复",IF(COUNTIF('案件'!$A$2:$A$201,B157)&lt;&gt;1,"案件ID无效",IF(D157=E157,"A与B任务相同",IF(OR(COUNTIF('任务登记'!$A$2:$A$201,D157)&lt;&gt;1,COUNTIF('任务登记'!$A$2:$A$201,E157)&lt;&gt;1),"裁决任务ID无效",IF(OR(INDEX('任务登记'!$B$2:$B$201,MATCH(D157,'任务登记'!$A$2:$A$201,0))&lt;&gt;B157,INDEX('任务登记'!$B$2:$B$201,MATCH(E157,'任务登记'!$A$2:$A$201,0))&lt;&gt;B157),"裁决任务跨案",IF(OR(INDEX('任务登记'!$F$2:$F$201,MATCH(D157,'任务登记'!$A$2:$A$201,0))&lt;&gt;"A",INDEX('任务登记'!$F$2:$F$201,MATCH(E157,'任务登记'!$A$2:$A$201,0))&lt;&gt;"B"),"裁决角色不符",IF(INDEX('任务登记'!$E$2:$E$201,MATCH(D157,'任务登记'!$A$2:$A$201,0))=INDEX('任务登记'!$E$2:$E$201,MATCH(E157,'任务登记'!$A$2:$A$201,0)),"A与B为同一人",IF(OR(M157=INDEX('任务登记'!$E$2:$E$201,MATCH(D157,'任务登记'!$A$2:$A$201,0)),M157=INDEX('任务登记'!$E$2:$E$201,MATCH(E157,'任务登记'!$A$2:$A$201,0))),"裁决者参与原标注","字段齐备"))))))))))</x:f>
      </x:c>
    </x:row>
    <x:row r="158" ht="3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10" t="str">
        <x:f>IF(COUNTA(A158:P158)=0,"",IF(OR(A158="",B158="",C158="",D158="",E158="",F158="",G158="",H158="",I158="",J158="",K158="",L158="",M158="",N158="",O158=""),"缺必填",IF(COUNTIF($A$2:$A$201,A158)&gt;1,"ID重复",IF(COUNTIF('案件'!$A$2:$A$201,B158)&lt;&gt;1,"案件ID无效",IF(D158=E158,"A与B任务相同",IF(OR(COUNTIF('任务登记'!$A$2:$A$201,D158)&lt;&gt;1,COUNTIF('任务登记'!$A$2:$A$201,E158)&lt;&gt;1),"裁决任务ID无效",IF(OR(INDEX('任务登记'!$B$2:$B$201,MATCH(D158,'任务登记'!$A$2:$A$201,0))&lt;&gt;B158,INDEX('任务登记'!$B$2:$B$201,MATCH(E158,'任务登记'!$A$2:$A$201,0))&lt;&gt;B158),"裁决任务跨案",IF(OR(INDEX('任务登记'!$F$2:$F$201,MATCH(D158,'任务登记'!$A$2:$A$201,0))&lt;&gt;"A",INDEX('任务登记'!$F$2:$F$201,MATCH(E158,'任务登记'!$A$2:$A$201,0))&lt;&gt;"B"),"裁决角色不符",IF(INDEX('任务登记'!$E$2:$E$201,MATCH(D158,'任务登记'!$A$2:$A$201,0))=INDEX('任务登记'!$E$2:$E$201,MATCH(E158,'任务登记'!$A$2:$A$201,0)),"A与B为同一人",IF(OR(M158=INDEX('任务登记'!$E$2:$E$201,MATCH(D158,'任务登记'!$A$2:$A$201,0)),M158=INDEX('任务登记'!$E$2:$E$201,MATCH(E158,'任务登记'!$A$2:$A$201,0))),"裁决者参与原标注","字段齐备"))))))))))</x:f>
      </x:c>
    </x:row>
    <x:row r="159" ht="3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10" t="str">
        <x:f>IF(COUNTA(A159:P159)=0,"",IF(OR(A159="",B159="",C159="",D159="",E159="",F159="",G159="",H159="",I159="",J159="",K159="",L159="",M159="",N159="",O159=""),"缺必填",IF(COUNTIF($A$2:$A$201,A159)&gt;1,"ID重复",IF(COUNTIF('案件'!$A$2:$A$201,B159)&lt;&gt;1,"案件ID无效",IF(D159=E159,"A与B任务相同",IF(OR(COUNTIF('任务登记'!$A$2:$A$201,D159)&lt;&gt;1,COUNTIF('任务登记'!$A$2:$A$201,E159)&lt;&gt;1),"裁决任务ID无效",IF(OR(INDEX('任务登记'!$B$2:$B$201,MATCH(D159,'任务登记'!$A$2:$A$201,0))&lt;&gt;B159,INDEX('任务登记'!$B$2:$B$201,MATCH(E159,'任务登记'!$A$2:$A$201,0))&lt;&gt;B159),"裁决任务跨案",IF(OR(INDEX('任务登记'!$F$2:$F$201,MATCH(D159,'任务登记'!$A$2:$A$201,0))&lt;&gt;"A",INDEX('任务登记'!$F$2:$F$201,MATCH(E159,'任务登记'!$A$2:$A$201,0))&lt;&gt;"B"),"裁决角色不符",IF(INDEX('任务登记'!$E$2:$E$201,MATCH(D159,'任务登记'!$A$2:$A$201,0))=INDEX('任务登记'!$E$2:$E$201,MATCH(E159,'任务登记'!$A$2:$A$201,0)),"A与B为同一人",IF(OR(M159=INDEX('任务登记'!$E$2:$E$201,MATCH(D159,'任务登记'!$A$2:$A$201,0)),M159=INDEX('任务登记'!$E$2:$E$201,MATCH(E159,'任务登记'!$A$2:$A$201,0))),"裁决者参与原标注","字段齐备"))))))))))</x:f>
      </x:c>
    </x:row>
    <x:row r="160" ht="3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10" t="str">
        <x:f>IF(COUNTA(A160:P160)=0,"",IF(OR(A160="",B160="",C160="",D160="",E160="",F160="",G160="",H160="",I160="",J160="",K160="",L160="",M160="",N160="",O160=""),"缺必填",IF(COUNTIF($A$2:$A$201,A160)&gt;1,"ID重复",IF(COUNTIF('案件'!$A$2:$A$201,B160)&lt;&gt;1,"案件ID无效",IF(D160=E160,"A与B任务相同",IF(OR(COUNTIF('任务登记'!$A$2:$A$201,D160)&lt;&gt;1,COUNTIF('任务登记'!$A$2:$A$201,E160)&lt;&gt;1),"裁决任务ID无效",IF(OR(INDEX('任务登记'!$B$2:$B$201,MATCH(D160,'任务登记'!$A$2:$A$201,0))&lt;&gt;B160,INDEX('任务登记'!$B$2:$B$201,MATCH(E160,'任务登记'!$A$2:$A$201,0))&lt;&gt;B160),"裁决任务跨案",IF(OR(INDEX('任务登记'!$F$2:$F$201,MATCH(D160,'任务登记'!$A$2:$A$201,0))&lt;&gt;"A",INDEX('任务登记'!$F$2:$F$201,MATCH(E160,'任务登记'!$A$2:$A$201,0))&lt;&gt;"B"),"裁决角色不符",IF(INDEX('任务登记'!$E$2:$E$201,MATCH(D160,'任务登记'!$A$2:$A$201,0))=INDEX('任务登记'!$E$2:$E$201,MATCH(E160,'任务登记'!$A$2:$A$201,0)),"A与B为同一人",IF(OR(M160=INDEX('任务登记'!$E$2:$E$201,MATCH(D160,'任务登记'!$A$2:$A$201,0)),M160=INDEX('任务登记'!$E$2:$E$201,MATCH(E160,'任务登记'!$A$2:$A$201,0))),"裁决者参与原标注","字段齐备"))))))))))</x:f>
      </x:c>
    </x:row>
    <x:row r="161" ht="3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10" t="str">
        <x:f>IF(COUNTA(A161:P161)=0,"",IF(OR(A161="",B161="",C161="",D161="",E161="",F161="",G161="",H161="",I161="",J161="",K161="",L161="",M161="",N161="",O161=""),"缺必填",IF(COUNTIF($A$2:$A$201,A161)&gt;1,"ID重复",IF(COUNTIF('案件'!$A$2:$A$201,B161)&lt;&gt;1,"案件ID无效",IF(D161=E161,"A与B任务相同",IF(OR(COUNTIF('任务登记'!$A$2:$A$201,D161)&lt;&gt;1,COUNTIF('任务登记'!$A$2:$A$201,E161)&lt;&gt;1),"裁决任务ID无效",IF(OR(INDEX('任务登记'!$B$2:$B$201,MATCH(D161,'任务登记'!$A$2:$A$201,0))&lt;&gt;B161,INDEX('任务登记'!$B$2:$B$201,MATCH(E161,'任务登记'!$A$2:$A$201,0))&lt;&gt;B161),"裁决任务跨案",IF(OR(INDEX('任务登记'!$F$2:$F$201,MATCH(D161,'任务登记'!$A$2:$A$201,0))&lt;&gt;"A",INDEX('任务登记'!$F$2:$F$201,MATCH(E161,'任务登记'!$A$2:$A$201,0))&lt;&gt;"B"),"裁决角色不符",IF(INDEX('任务登记'!$E$2:$E$201,MATCH(D161,'任务登记'!$A$2:$A$201,0))=INDEX('任务登记'!$E$2:$E$201,MATCH(E161,'任务登记'!$A$2:$A$201,0)),"A与B为同一人",IF(OR(M161=INDEX('任务登记'!$E$2:$E$201,MATCH(D161,'任务登记'!$A$2:$A$201,0)),M161=INDEX('任务登记'!$E$2:$E$201,MATCH(E161,'任务登记'!$A$2:$A$201,0))),"裁决者参与原标注","字段齐备"))))))))))</x:f>
      </x:c>
    </x:row>
    <x:row r="162" ht="3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10" t="str">
        <x:f>IF(COUNTA(A162:P162)=0,"",IF(OR(A162="",B162="",C162="",D162="",E162="",F162="",G162="",H162="",I162="",J162="",K162="",L162="",M162="",N162="",O162=""),"缺必填",IF(COUNTIF($A$2:$A$201,A162)&gt;1,"ID重复",IF(COUNTIF('案件'!$A$2:$A$201,B162)&lt;&gt;1,"案件ID无效",IF(D162=E162,"A与B任务相同",IF(OR(COUNTIF('任务登记'!$A$2:$A$201,D162)&lt;&gt;1,COUNTIF('任务登记'!$A$2:$A$201,E162)&lt;&gt;1),"裁决任务ID无效",IF(OR(INDEX('任务登记'!$B$2:$B$201,MATCH(D162,'任务登记'!$A$2:$A$201,0))&lt;&gt;B162,INDEX('任务登记'!$B$2:$B$201,MATCH(E162,'任务登记'!$A$2:$A$201,0))&lt;&gt;B162),"裁决任务跨案",IF(OR(INDEX('任务登记'!$F$2:$F$201,MATCH(D162,'任务登记'!$A$2:$A$201,0))&lt;&gt;"A",INDEX('任务登记'!$F$2:$F$201,MATCH(E162,'任务登记'!$A$2:$A$201,0))&lt;&gt;"B"),"裁决角色不符",IF(INDEX('任务登记'!$E$2:$E$201,MATCH(D162,'任务登记'!$A$2:$A$201,0))=INDEX('任务登记'!$E$2:$E$201,MATCH(E162,'任务登记'!$A$2:$A$201,0)),"A与B为同一人",IF(OR(M162=INDEX('任务登记'!$E$2:$E$201,MATCH(D162,'任务登记'!$A$2:$A$201,0)),M162=INDEX('任务登记'!$E$2:$E$201,MATCH(E162,'任务登记'!$A$2:$A$201,0))),"裁决者参与原标注","字段齐备"))))))))))</x:f>
      </x:c>
    </x:row>
    <x:row r="163" ht="3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10" t="str">
        <x:f>IF(COUNTA(A163:P163)=0,"",IF(OR(A163="",B163="",C163="",D163="",E163="",F163="",G163="",H163="",I163="",J163="",K163="",L163="",M163="",N163="",O163=""),"缺必填",IF(COUNTIF($A$2:$A$201,A163)&gt;1,"ID重复",IF(COUNTIF('案件'!$A$2:$A$201,B163)&lt;&gt;1,"案件ID无效",IF(D163=E163,"A与B任务相同",IF(OR(COUNTIF('任务登记'!$A$2:$A$201,D163)&lt;&gt;1,COUNTIF('任务登记'!$A$2:$A$201,E163)&lt;&gt;1),"裁决任务ID无效",IF(OR(INDEX('任务登记'!$B$2:$B$201,MATCH(D163,'任务登记'!$A$2:$A$201,0))&lt;&gt;B163,INDEX('任务登记'!$B$2:$B$201,MATCH(E163,'任务登记'!$A$2:$A$201,0))&lt;&gt;B163),"裁决任务跨案",IF(OR(INDEX('任务登记'!$F$2:$F$201,MATCH(D163,'任务登记'!$A$2:$A$201,0))&lt;&gt;"A",INDEX('任务登记'!$F$2:$F$201,MATCH(E163,'任务登记'!$A$2:$A$201,0))&lt;&gt;"B"),"裁决角色不符",IF(INDEX('任务登记'!$E$2:$E$201,MATCH(D163,'任务登记'!$A$2:$A$201,0))=INDEX('任务登记'!$E$2:$E$201,MATCH(E163,'任务登记'!$A$2:$A$201,0)),"A与B为同一人",IF(OR(M163=INDEX('任务登记'!$E$2:$E$201,MATCH(D163,'任务登记'!$A$2:$A$201,0)),M163=INDEX('任务登记'!$E$2:$E$201,MATCH(E163,'任务登记'!$A$2:$A$201,0))),"裁决者参与原标注","字段齐备"))))))))))</x:f>
      </x:c>
    </x:row>
    <x:row r="164" ht="3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10" t="str">
        <x:f>IF(COUNTA(A164:P164)=0,"",IF(OR(A164="",B164="",C164="",D164="",E164="",F164="",G164="",H164="",I164="",J164="",K164="",L164="",M164="",N164="",O164=""),"缺必填",IF(COUNTIF($A$2:$A$201,A164)&gt;1,"ID重复",IF(COUNTIF('案件'!$A$2:$A$201,B164)&lt;&gt;1,"案件ID无效",IF(D164=E164,"A与B任务相同",IF(OR(COUNTIF('任务登记'!$A$2:$A$201,D164)&lt;&gt;1,COUNTIF('任务登记'!$A$2:$A$201,E164)&lt;&gt;1),"裁决任务ID无效",IF(OR(INDEX('任务登记'!$B$2:$B$201,MATCH(D164,'任务登记'!$A$2:$A$201,0))&lt;&gt;B164,INDEX('任务登记'!$B$2:$B$201,MATCH(E164,'任务登记'!$A$2:$A$201,0))&lt;&gt;B164),"裁决任务跨案",IF(OR(INDEX('任务登记'!$F$2:$F$201,MATCH(D164,'任务登记'!$A$2:$A$201,0))&lt;&gt;"A",INDEX('任务登记'!$F$2:$F$201,MATCH(E164,'任务登记'!$A$2:$A$201,0))&lt;&gt;"B"),"裁决角色不符",IF(INDEX('任务登记'!$E$2:$E$201,MATCH(D164,'任务登记'!$A$2:$A$201,0))=INDEX('任务登记'!$E$2:$E$201,MATCH(E164,'任务登记'!$A$2:$A$201,0)),"A与B为同一人",IF(OR(M164=INDEX('任务登记'!$E$2:$E$201,MATCH(D164,'任务登记'!$A$2:$A$201,0)),M164=INDEX('任务登记'!$E$2:$E$201,MATCH(E164,'任务登记'!$A$2:$A$201,0))),"裁决者参与原标注","字段齐备"))))))))))</x:f>
      </x:c>
    </x:row>
    <x:row r="165" ht="3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10" t="str">
        <x:f>IF(COUNTA(A165:P165)=0,"",IF(OR(A165="",B165="",C165="",D165="",E165="",F165="",G165="",H165="",I165="",J165="",K165="",L165="",M165="",N165="",O165=""),"缺必填",IF(COUNTIF($A$2:$A$201,A165)&gt;1,"ID重复",IF(COUNTIF('案件'!$A$2:$A$201,B165)&lt;&gt;1,"案件ID无效",IF(D165=E165,"A与B任务相同",IF(OR(COUNTIF('任务登记'!$A$2:$A$201,D165)&lt;&gt;1,COUNTIF('任务登记'!$A$2:$A$201,E165)&lt;&gt;1),"裁决任务ID无效",IF(OR(INDEX('任务登记'!$B$2:$B$201,MATCH(D165,'任务登记'!$A$2:$A$201,0))&lt;&gt;B165,INDEX('任务登记'!$B$2:$B$201,MATCH(E165,'任务登记'!$A$2:$A$201,0))&lt;&gt;B165),"裁决任务跨案",IF(OR(INDEX('任务登记'!$F$2:$F$201,MATCH(D165,'任务登记'!$A$2:$A$201,0))&lt;&gt;"A",INDEX('任务登记'!$F$2:$F$201,MATCH(E165,'任务登记'!$A$2:$A$201,0))&lt;&gt;"B"),"裁决角色不符",IF(INDEX('任务登记'!$E$2:$E$201,MATCH(D165,'任务登记'!$A$2:$A$201,0))=INDEX('任务登记'!$E$2:$E$201,MATCH(E165,'任务登记'!$A$2:$A$201,0)),"A与B为同一人",IF(OR(M165=INDEX('任务登记'!$E$2:$E$201,MATCH(D165,'任务登记'!$A$2:$A$201,0)),M165=INDEX('任务登记'!$E$2:$E$201,MATCH(E165,'任务登记'!$A$2:$A$201,0))),"裁决者参与原标注","字段齐备"))))))))))</x:f>
      </x:c>
    </x:row>
    <x:row r="166" ht="3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10" t="str">
        <x:f>IF(COUNTA(A166:P166)=0,"",IF(OR(A166="",B166="",C166="",D166="",E166="",F166="",G166="",H166="",I166="",J166="",K166="",L166="",M166="",N166="",O166=""),"缺必填",IF(COUNTIF($A$2:$A$201,A166)&gt;1,"ID重复",IF(COUNTIF('案件'!$A$2:$A$201,B166)&lt;&gt;1,"案件ID无效",IF(D166=E166,"A与B任务相同",IF(OR(COUNTIF('任务登记'!$A$2:$A$201,D166)&lt;&gt;1,COUNTIF('任务登记'!$A$2:$A$201,E166)&lt;&gt;1),"裁决任务ID无效",IF(OR(INDEX('任务登记'!$B$2:$B$201,MATCH(D166,'任务登记'!$A$2:$A$201,0))&lt;&gt;B166,INDEX('任务登记'!$B$2:$B$201,MATCH(E166,'任务登记'!$A$2:$A$201,0))&lt;&gt;B166),"裁决任务跨案",IF(OR(INDEX('任务登记'!$F$2:$F$201,MATCH(D166,'任务登记'!$A$2:$A$201,0))&lt;&gt;"A",INDEX('任务登记'!$F$2:$F$201,MATCH(E166,'任务登记'!$A$2:$A$201,0))&lt;&gt;"B"),"裁决角色不符",IF(INDEX('任务登记'!$E$2:$E$201,MATCH(D166,'任务登记'!$A$2:$A$201,0))=INDEX('任务登记'!$E$2:$E$201,MATCH(E166,'任务登记'!$A$2:$A$201,0)),"A与B为同一人",IF(OR(M166=INDEX('任务登记'!$E$2:$E$201,MATCH(D166,'任务登记'!$A$2:$A$201,0)),M166=INDEX('任务登记'!$E$2:$E$201,MATCH(E166,'任务登记'!$A$2:$A$201,0))),"裁决者参与原标注","字段齐备"))))))))))</x:f>
      </x:c>
    </x:row>
    <x:row r="167" ht="3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10" t="str">
        <x:f>IF(COUNTA(A167:P167)=0,"",IF(OR(A167="",B167="",C167="",D167="",E167="",F167="",G167="",H167="",I167="",J167="",K167="",L167="",M167="",N167="",O167=""),"缺必填",IF(COUNTIF($A$2:$A$201,A167)&gt;1,"ID重复",IF(COUNTIF('案件'!$A$2:$A$201,B167)&lt;&gt;1,"案件ID无效",IF(D167=E167,"A与B任务相同",IF(OR(COUNTIF('任务登记'!$A$2:$A$201,D167)&lt;&gt;1,COUNTIF('任务登记'!$A$2:$A$201,E167)&lt;&gt;1),"裁决任务ID无效",IF(OR(INDEX('任务登记'!$B$2:$B$201,MATCH(D167,'任务登记'!$A$2:$A$201,0))&lt;&gt;B167,INDEX('任务登记'!$B$2:$B$201,MATCH(E167,'任务登记'!$A$2:$A$201,0))&lt;&gt;B167),"裁决任务跨案",IF(OR(INDEX('任务登记'!$F$2:$F$201,MATCH(D167,'任务登记'!$A$2:$A$201,0))&lt;&gt;"A",INDEX('任务登记'!$F$2:$F$201,MATCH(E167,'任务登记'!$A$2:$A$201,0))&lt;&gt;"B"),"裁决角色不符",IF(INDEX('任务登记'!$E$2:$E$201,MATCH(D167,'任务登记'!$A$2:$A$201,0))=INDEX('任务登记'!$E$2:$E$201,MATCH(E167,'任务登记'!$A$2:$A$201,0)),"A与B为同一人",IF(OR(M167=INDEX('任务登记'!$E$2:$E$201,MATCH(D167,'任务登记'!$A$2:$A$201,0)),M167=INDEX('任务登记'!$E$2:$E$201,MATCH(E167,'任务登记'!$A$2:$A$201,0))),"裁决者参与原标注","字段齐备"))))))))))</x:f>
      </x:c>
    </x:row>
    <x:row r="168" ht="3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10" t="str">
        <x:f>IF(COUNTA(A168:P168)=0,"",IF(OR(A168="",B168="",C168="",D168="",E168="",F168="",G168="",H168="",I168="",J168="",K168="",L168="",M168="",N168="",O168=""),"缺必填",IF(COUNTIF($A$2:$A$201,A168)&gt;1,"ID重复",IF(COUNTIF('案件'!$A$2:$A$201,B168)&lt;&gt;1,"案件ID无效",IF(D168=E168,"A与B任务相同",IF(OR(COUNTIF('任务登记'!$A$2:$A$201,D168)&lt;&gt;1,COUNTIF('任务登记'!$A$2:$A$201,E168)&lt;&gt;1),"裁决任务ID无效",IF(OR(INDEX('任务登记'!$B$2:$B$201,MATCH(D168,'任务登记'!$A$2:$A$201,0))&lt;&gt;B168,INDEX('任务登记'!$B$2:$B$201,MATCH(E168,'任务登记'!$A$2:$A$201,0))&lt;&gt;B168),"裁决任务跨案",IF(OR(INDEX('任务登记'!$F$2:$F$201,MATCH(D168,'任务登记'!$A$2:$A$201,0))&lt;&gt;"A",INDEX('任务登记'!$F$2:$F$201,MATCH(E168,'任务登记'!$A$2:$A$201,0))&lt;&gt;"B"),"裁决角色不符",IF(INDEX('任务登记'!$E$2:$E$201,MATCH(D168,'任务登记'!$A$2:$A$201,0))=INDEX('任务登记'!$E$2:$E$201,MATCH(E168,'任务登记'!$A$2:$A$201,0)),"A与B为同一人",IF(OR(M168=INDEX('任务登记'!$E$2:$E$201,MATCH(D168,'任务登记'!$A$2:$A$201,0)),M168=INDEX('任务登记'!$E$2:$E$201,MATCH(E168,'任务登记'!$A$2:$A$201,0))),"裁决者参与原标注","字段齐备"))))))))))</x:f>
      </x:c>
    </x:row>
    <x:row r="169" ht="3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10" t="str">
        <x:f>IF(COUNTA(A169:P169)=0,"",IF(OR(A169="",B169="",C169="",D169="",E169="",F169="",G169="",H169="",I169="",J169="",K169="",L169="",M169="",N169="",O169=""),"缺必填",IF(COUNTIF($A$2:$A$201,A169)&gt;1,"ID重复",IF(COUNTIF('案件'!$A$2:$A$201,B169)&lt;&gt;1,"案件ID无效",IF(D169=E169,"A与B任务相同",IF(OR(COUNTIF('任务登记'!$A$2:$A$201,D169)&lt;&gt;1,COUNTIF('任务登记'!$A$2:$A$201,E169)&lt;&gt;1),"裁决任务ID无效",IF(OR(INDEX('任务登记'!$B$2:$B$201,MATCH(D169,'任务登记'!$A$2:$A$201,0))&lt;&gt;B169,INDEX('任务登记'!$B$2:$B$201,MATCH(E169,'任务登记'!$A$2:$A$201,0))&lt;&gt;B169),"裁决任务跨案",IF(OR(INDEX('任务登记'!$F$2:$F$201,MATCH(D169,'任务登记'!$A$2:$A$201,0))&lt;&gt;"A",INDEX('任务登记'!$F$2:$F$201,MATCH(E169,'任务登记'!$A$2:$A$201,0))&lt;&gt;"B"),"裁决角色不符",IF(INDEX('任务登记'!$E$2:$E$201,MATCH(D169,'任务登记'!$A$2:$A$201,0))=INDEX('任务登记'!$E$2:$E$201,MATCH(E169,'任务登记'!$A$2:$A$201,0)),"A与B为同一人",IF(OR(M169=INDEX('任务登记'!$E$2:$E$201,MATCH(D169,'任务登记'!$A$2:$A$201,0)),M169=INDEX('任务登记'!$E$2:$E$201,MATCH(E169,'任务登记'!$A$2:$A$201,0))),"裁决者参与原标注","字段齐备"))))))))))</x:f>
      </x:c>
    </x:row>
    <x:row r="170" ht="3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10" t="str">
        <x:f>IF(COUNTA(A170:P170)=0,"",IF(OR(A170="",B170="",C170="",D170="",E170="",F170="",G170="",H170="",I170="",J170="",K170="",L170="",M170="",N170="",O170=""),"缺必填",IF(COUNTIF($A$2:$A$201,A170)&gt;1,"ID重复",IF(COUNTIF('案件'!$A$2:$A$201,B170)&lt;&gt;1,"案件ID无效",IF(D170=E170,"A与B任务相同",IF(OR(COUNTIF('任务登记'!$A$2:$A$201,D170)&lt;&gt;1,COUNTIF('任务登记'!$A$2:$A$201,E170)&lt;&gt;1),"裁决任务ID无效",IF(OR(INDEX('任务登记'!$B$2:$B$201,MATCH(D170,'任务登记'!$A$2:$A$201,0))&lt;&gt;B170,INDEX('任务登记'!$B$2:$B$201,MATCH(E170,'任务登记'!$A$2:$A$201,0))&lt;&gt;B170),"裁决任务跨案",IF(OR(INDEX('任务登记'!$F$2:$F$201,MATCH(D170,'任务登记'!$A$2:$A$201,0))&lt;&gt;"A",INDEX('任务登记'!$F$2:$F$201,MATCH(E170,'任务登记'!$A$2:$A$201,0))&lt;&gt;"B"),"裁决角色不符",IF(INDEX('任务登记'!$E$2:$E$201,MATCH(D170,'任务登记'!$A$2:$A$201,0))=INDEX('任务登记'!$E$2:$E$201,MATCH(E170,'任务登记'!$A$2:$A$201,0)),"A与B为同一人",IF(OR(M170=INDEX('任务登记'!$E$2:$E$201,MATCH(D170,'任务登记'!$A$2:$A$201,0)),M170=INDEX('任务登记'!$E$2:$E$201,MATCH(E170,'任务登记'!$A$2:$A$201,0))),"裁决者参与原标注","字段齐备"))))))))))</x:f>
      </x:c>
    </x:row>
    <x:row r="171" ht="3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10" t="str">
        <x:f>IF(COUNTA(A171:P171)=0,"",IF(OR(A171="",B171="",C171="",D171="",E171="",F171="",G171="",H171="",I171="",J171="",K171="",L171="",M171="",N171="",O171=""),"缺必填",IF(COUNTIF($A$2:$A$201,A171)&gt;1,"ID重复",IF(COUNTIF('案件'!$A$2:$A$201,B171)&lt;&gt;1,"案件ID无效",IF(D171=E171,"A与B任务相同",IF(OR(COUNTIF('任务登记'!$A$2:$A$201,D171)&lt;&gt;1,COUNTIF('任务登记'!$A$2:$A$201,E171)&lt;&gt;1),"裁决任务ID无效",IF(OR(INDEX('任务登记'!$B$2:$B$201,MATCH(D171,'任务登记'!$A$2:$A$201,0))&lt;&gt;B171,INDEX('任务登记'!$B$2:$B$201,MATCH(E171,'任务登记'!$A$2:$A$201,0))&lt;&gt;B171),"裁决任务跨案",IF(OR(INDEX('任务登记'!$F$2:$F$201,MATCH(D171,'任务登记'!$A$2:$A$201,0))&lt;&gt;"A",INDEX('任务登记'!$F$2:$F$201,MATCH(E171,'任务登记'!$A$2:$A$201,0))&lt;&gt;"B"),"裁决角色不符",IF(INDEX('任务登记'!$E$2:$E$201,MATCH(D171,'任务登记'!$A$2:$A$201,0))=INDEX('任务登记'!$E$2:$E$201,MATCH(E171,'任务登记'!$A$2:$A$201,0)),"A与B为同一人",IF(OR(M171=INDEX('任务登记'!$E$2:$E$201,MATCH(D171,'任务登记'!$A$2:$A$201,0)),M171=INDEX('任务登记'!$E$2:$E$201,MATCH(E171,'任务登记'!$A$2:$A$201,0))),"裁决者参与原标注","字段齐备"))))))))))</x:f>
      </x:c>
    </x:row>
    <x:row r="172" ht="3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10" t="str">
        <x:f>IF(COUNTA(A172:P172)=0,"",IF(OR(A172="",B172="",C172="",D172="",E172="",F172="",G172="",H172="",I172="",J172="",K172="",L172="",M172="",N172="",O172=""),"缺必填",IF(COUNTIF($A$2:$A$201,A172)&gt;1,"ID重复",IF(COUNTIF('案件'!$A$2:$A$201,B172)&lt;&gt;1,"案件ID无效",IF(D172=E172,"A与B任务相同",IF(OR(COUNTIF('任务登记'!$A$2:$A$201,D172)&lt;&gt;1,COUNTIF('任务登记'!$A$2:$A$201,E172)&lt;&gt;1),"裁决任务ID无效",IF(OR(INDEX('任务登记'!$B$2:$B$201,MATCH(D172,'任务登记'!$A$2:$A$201,0))&lt;&gt;B172,INDEX('任务登记'!$B$2:$B$201,MATCH(E172,'任务登记'!$A$2:$A$201,0))&lt;&gt;B172),"裁决任务跨案",IF(OR(INDEX('任务登记'!$F$2:$F$201,MATCH(D172,'任务登记'!$A$2:$A$201,0))&lt;&gt;"A",INDEX('任务登记'!$F$2:$F$201,MATCH(E172,'任务登记'!$A$2:$A$201,0))&lt;&gt;"B"),"裁决角色不符",IF(INDEX('任务登记'!$E$2:$E$201,MATCH(D172,'任务登记'!$A$2:$A$201,0))=INDEX('任务登记'!$E$2:$E$201,MATCH(E172,'任务登记'!$A$2:$A$201,0)),"A与B为同一人",IF(OR(M172=INDEX('任务登记'!$E$2:$E$201,MATCH(D172,'任务登记'!$A$2:$A$201,0)),M172=INDEX('任务登记'!$E$2:$E$201,MATCH(E172,'任务登记'!$A$2:$A$201,0))),"裁决者参与原标注","字段齐备"))))))))))</x:f>
      </x:c>
    </x:row>
    <x:row r="173" ht="3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10" t="str">
        <x:f>IF(COUNTA(A173:P173)=0,"",IF(OR(A173="",B173="",C173="",D173="",E173="",F173="",G173="",H173="",I173="",J173="",K173="",L173="",M173="",N173="",O173=""),"缺必填",IF(COUNTIF($A$2:$A$201,A173)&gt;1,"ID重复",IF(COUNTIF('案件'!$A$2:$A$201,B173)&lt;&gt;1,"案件ID无效",IF(D173=E173,"A与B任务相同",IF(OR(COUNTIF('任务登记'!$A$2:$A$201,D173)&lt;&gt;1,COUNTIF('任务登记'!$A$2:$A$201,E173)&lt;&gt;1),"裁决任务ID无效",IF(OR(INDEX('任务登记'!$B$2:$B$201,MATCH(D173,'任务登记'!$A$2:$A$201,0))&lt;&gt;B173,INDEX('任务登记'!$B$2:$B$201,MATCH(E173,'任务登记'!$A$2:$A$201,0))&lt;&gt;B173),"裁决任务跨案",IF(OR(INDEX('任务登记'!$F$2:$F$201,MATCH(D173,'任务登记'!$A$2:$A$201,0))&lt;&gt;"A",INDEX('任务登记'!$F$2:$F$201,MATCH(E173,'任务登记'!$A$2:$A$201,0))&lt;&gt;"B"),"裁决角色不符",IF(INDEX('任务登记'!$E$2:$E$201,MATCH(D173,'任务登记'!$A$2:$A$201,0))=INDEX('任务登记'!$E$2:$E$201,MATCH(E173,'任务登记'!$A$2:$A$201,0)),"A与B为同一人",IF(OR(M173=INDEX('任务登记'!$E$2:$E$201,MATCH(D173,'任务登记'!$A$2:$A$201,0)),M173=INDEX('任务登记'!$E$2:$E$201,MATCH(E173,'任务登记'!$A$2:$A$201,0))),"裁决者参与原标注","字段齐备"))))))))))</x:f>
      </x:c>
    </x:row>
    <x:row r="174" ht="3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10" t="str">
        <x:f>IF(COUNTA(A174:P174)=0,"",IF(OR(A174="",B174="",C174="",D174="",E174="",F174="",G174="",H174="",I174="",J174="",K174="",L174="",M174="",N174="",O174=""),"缺必填",IF(COUNTIF($A$2:$A$201,A174)&gt;1,"ID重复",IF(COUNTIF('案件'!$A$2:$A$201,B174)&lt;&gt;1,"案件ID无效",IF(D174=E174,"A与B任务相同",IF(OR(COUNTIF('任务登记'!$A$2:$A$201,D174)&lt;&gt;1,COUNTIF('任务登记'!$A$2:$A$201,E174)&lt;&gt;1),"裁决任务ID无效",IF(OR(INDEX('任务登记'!$B$2:$B$201,MATCH(D174,'任务登记'!$A$2:$A$201,0))&lt;&gt;B174,INDEX('任务登记'!$B$2:$B$201,MATCH(E174,'任务登记'!$A$2:$A$201,0))&lt;&gt;B174),"裁决任务跨案",IF(OR(INDEX('任务登记'!$F$2:$F$201,MATCH(D174,'任务登记'!$A$2:$A$201,0))&lt;&gt;"A",INDEX('任务登记'!$F$2:$F$201,MATCH(E174,'任务登记'!$A$2:$A$201,0))&lt;&gt;"B"),"裁决角色不符",IF(INDEX('任务登记'!$E$2:$E$201,MATCH(D174,'任务登记'!$A$2:$A$201,0))=INDEX('任务登记'!$E$2:$E$201,MATCH(E174,'任务登记'!$A$2:$A$201,0)),"A与B为同一人",IF(OR(M174=INDEX('任务登记'!$E$2:$E$201,MATCH(D174,'任务登记'!$A$2:$A$201,0)),M174=INDEX('任务登记'!$E$2:$E$201,MATCH(E174,'任务登记'!$A$2:$A$201,0))),"裁决者参与原标注","字段齐备"))))))))))</x:f>
      </x:c>
    </x:row>
    <x:row r="175" ht="3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10" t="str">
        <x:f>IF(COUNTA(A175:P175)=0,"",IF(OR(A175="",B175="",C175="",D175="",E175="",F175="",G175="",H175="",I175="",J175="",K175="",L175="",M175="",N175="",O175=""),"缺必填",IF(COUNTIF($A$2:$A$201,A175)&gt;1,"ID重复",IF(COUNTIF('案件'!$A$2:$A$201,B175)&lt;&gt;1,"案件ID无效",IF(D175=E175,"A与B任务相同",IF(OR(COUNTIF('任务登记'!$A$2:$A$201,D175)&lt;&gt;1,COUNTIF('任务登记'!$A$2:$A$201,E175)&lt;&gt;1),"裁决任务ID无效",IF(OR(INDEX('任务登记'!$B$2:$B$201,MATCH(D175,'任务登记'!$A$2:$A$201,0))&lt;&gt;B175,INDEX('任务登记'!$B$2:$B$201,MATCH(E175,'任务登记'!$A$2:$A$201,0))&lt;&gt;B175),"裁决任务跨案",IF(OR(INDEX('任务登记'!$F$2:$F$201,MATCH(D175,'任务登记'!$A$2:$A$201,0))&lt;&gt;"A",INDEX('任务登记'!$F$2:$F$201,MATCH(E175,'任务登记'!$A$2:$A$201,0))&lt;&gt;"B"),"裁决角色不符",IF(INDEX('任务登记'!$E$2:$E$201,MATCH(D175,'任务登记'!$A$2:$A$201,0))=INDEX('任务登记'!$E$2:$E$201,MATCH(E175,'任务登记'!$A$2:$A$201,0)),"A与B为同一人",IF(OR(M175=INDEX('任务登记'!$E$2:$E$201,MATCH(D175,'任务登记'!$A$2:$A$201,0)),M175=INDEX('任务登记'!$E$2:$E$201,MATCH(E175,'任务登记'!$A$2:$A$201,0))),"裁决者参与原标注","字段齐备"))))))))))</x:f>
      </x:c>
    </x:row>
    <x:row r="176" ht="3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10" t="str">
        <x:f>IF(COUNTA(A176:P176)=0,"",IF(OR(A176="",B176="",C176="",D176="",E176="",F176="",G176="",H176="",I176="",J176="",K176="",L176="",M176="",N176="",O176=""),"缺必填",IF(COUNTIF($A$2:$A$201,A176)&gt;1,"ID重复",IF(COUNTIF('案件'!$A$2:$A$201,B176)&lt;&gt;1,"案件ID无效",IF(D176=E176,"A与B任务相同",IF(OR(COUNTIF('任务登记'!$A$2:$A$201,D176)&lt;&gt;1,COUNTIF('任务登记'!$A$2:$A$201,E176)&lt;&gt;1),"裁决任务ID无效",IF(OR(INDEX('任务登记'!$B$2:$B$201,MATCH(D176,'任务登记'!$A$2:$A$201,0))&lt;&gt;B176,INDEX('任务登记'!$B$2:$B$201,MATCH(E176,'任务登记'!$A$2:$A$201,0))&lt;&gt;B176),"裁决任务跨案",IF(OR(INDEX('任务登记'!$F$2:$F$201,MATCH(D176,'任务登记'!$A$2:$A$201,0))&lt;&gt;"A",INDEX('任务登记'!$F$2:$F$201,MATCH(E176,'任务登记'!$A$2:$A$201,0))&lt;&gt;"B"),"裁决角色不符",IF(INDEX('任务登记'!$E$2:$E$201,MATCH(D176,'任务登记'!$A$2:$A$201,0))=INDEX('任务登记'!$E$2:$E$201,MATCH(E176,'任务登记'!$A$2:$A$201,0)),"A与B为同一人",IF(OR(M176=INDEX('任务登记'!$E$2:$E$201,MATCH(D176,'任务登记'!$A$2:$A$201,0)),M176=INDEX('任务登记'!$E$2:$E$201,MATCH(E176,'任务登记'!$A$2:$A$201,0))),"裁决者参与原标注","字段齐备"))))))))))</x:f>
      </x:c>
    </x:row>
    <x:row r="177" ht="3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10" t="str">
        <x:f>IF(COUNTA(A177:P177)=0,"",IF(OR(A177="",B177="",C177="",D177="",E177="",F177="",G177="",H177="",I177="",J177="",K177="",L177="",M177="",N177="",O177=""),"缺必填",IF(COUNTIF($A$2:$A$201,A177)&gt;1,"ID重复",IF(COUNTIF('案件'!$A$2:$A$201,B177)&lt;&gt;1,"案件ID无效",IF(D177=E177,"A与B任务相同",IF(OR(COUNTIF('任务登记'!$A$2:$A$201,D177)&lt;&gt;1,COUNTIF('任务登记'!$A$2:$A$201,E177)&lt;&gt;1),"裁决任务ID无效",IF(OR(INDEX('任务登记'!$B$2:$B$201,MATCH(D177,'任务登记'!$A$2:$A$201,0))&lt;&gt;B177,INDEX('任务登记'!$B$2:$B$201,MATCH(E177,'任务登记'!$A$2:$A$201,0))&lt;&gt;B177),"裁决任务跨案",IF(OR(INDEX('任务登记'!$F$2:$F$201,MATCH(D177,'任务登记'!$A$2:$A$201,0))&lt;&gt;"A",INDEX('任务登记'!$F$2:$F$201,MATCH(E177,'任务登记'!$A$2:$A$201,0))&lt;&gt;"B"),"裁决角色不符",IF(INDEX('任务登记'!$E$2:$E$201,MATCH(D177,'任务登记'!$A$2:$A$201,0))=INDEX('任务登记'!$E$2:$E$201,MATCH(E177,'任务登记'!$A$2:$A$201,0)),"A与B为同一人",IF(OR(M177=INDEX('任务登记'!$E$2:$E$201,MATCH(D177,'任务登记'!$A$2:$A$201,0)),M177=INDEX('任务登记'!$E$2:$E$201,MATCH(E177,'任务登记'!$A$2:$A$201,0))),"裁决者参与原标注","字段齐备"))))))))))</x:f>
      </x:c>
    </x:row>
    <x:row r="178" ht="3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10" t="str">
        <x:f>IF(COUNTA(A178:P178)=0,"",IF(OR(A178="",B178="",C178="",D178="",E178="",F178="",G178="",H178="",I178="",J178="",K178="",L178="",M178="",N178="",O178=""),"缺必填",IF(COUNTIF($A$2:$A$201,A178)&gt;1,"ID重复",IF(COUNTIF('案件'!$A$2:$A$201,B178)&lt;&gt;1,"案件ID无效",IF(D178=E178,"A与B任务相同",IF(OR(COUNTIF('任务登记'!$A$2:$A$201,D178)&lt;&gt;1,COUNTIF('任务登记'!$A$2:$A$201,E178)&lt;&gt;1),"裁决任务ID无效",IF(OR(INDEX('任务登记'!$B$2:$B$201,MATCH(D178,'任务登记'!$A$2:$A$201,0))&lt;&gt;B178,INDEX('任务登记'!$B$2:$B$201,MATCH(E178,'任务登记'!$A$2:$A$201,0))&lt;&gt;B178),"裁决任务跨案",IF(OR(INDEX('任务登记'!$F$2:$F$201,MATCH(D178,'任务登记'!$A$2:$A$201,0))&lt;&gt;"A",INDEX('任务登记'!$F$2:$F$201,MATCH(E178,'任务登记'!$A$2:$A$201,0))&lt;&gt;"B"),"裁决角色不符",IF(INDEX('任务登记'!$E$2:$E$201,MATCH(D178,'任务登记'!$A$2:$A$201,0))=INDEX('任务登记'!$E$2:$E$201,MATCH(E178,'任务登记'!$A$2:$A$201,0)),"A与B为同一人",IF(OR(M178=INDEX('任务登记'!$E$2:$E$201,MATCH(D178,'任务登记'!$A$2:$A$201,0)),M178=INDEX('任务登记'!$E$2:$E$201,MATCH(E178,'任务登记'!$A$2:$A$201,0))),"裁决者参与原标注","字段齐备"))))))))))</x:f>
      </x:c>
    </x:row>
    <x:row r="179" ht="3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10" t="str">
        <x:f>IF(COUNTA(A179:P179)=0,"",IF(OR(A179="",B179="",C179="",D179="",E179="",F179="",G179="",H179="",I179="",J179="",K179="",L179="",M179="",N179="",O179=""),"缺必填",IF(COUNTIF($A$2:$A$201,A179)&gt;1,"ID重复",IF(COUNTIF('案件'!$A$2:$A$201,B179)&lt;&gt;1,"案件ID无效",IF(D179=E179,"A与B任务相同",IF(OR(COUNTIF('任务登记'!$A$2:$A$201,D179)&lt;&gt;1,COUNTIF('任务登记'!$A$2:$A$201,E179)&lt;&gt;1),"裁决任务ID无效",IF(OR(INDEX('任务登记'!$B$2:$B$201,MATCH(D179,'任务登记'!$A$2:$A$201,0))&lt;&gt;B179,INDEX('任务登记'!$B$2:$B$201,MATCH(E179,'任务登记'!$A$2:$A$201,0))&lt;&gt;B179),"裁决任务跨案",IF(OR(INDEX('任务登记'!$F$2:$F$201,MATCH(D179,'任务登记'!$A$2:$A$201,0))&lt;&gt;"A",INDEX('任务登记'!$F$2:$F$201,MATCH(E179,'任务登记'!$A$2:$A$201,0))&lt;&gt;"B"),"裁决角色不符",IF(INDEX('任务登记'!$E$2:$E$201,MATCH(D179,'任务登记'!$A$2:$A$201,0))=INDEX('任务登记'!$E$2:$E$201,MATCH(E179,'任务登记'!$A$2:$A$201,0)),"A与B为同一人",IF(OR(M179=INDEX('任务登记'!$E$2:$E$201,MATCH(D179,'任务登记'!$A$2:$A$201,0)),M179=INDEX('任务登记'!$E$2:$E$201,MATCH(E179,'任务登记'!$A$2:$A$201,0))),"裁决者参与原标注","字段齐备"))))))))))</x:f>
      </x:c>
    </x:row>
    <x:row r="180" ht="3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10" t="str">
        <x:f>IF(COUNTA(A180:P180)=0,"",IF(OR(A180="",B180="",C180="",D180="",E180="",F180="",G180="",H180="",I180="",J180="",K180="",L180="",M180="",N180="",O180=""),"缺必填",IF(COUNTIF($A$2:$A$201,A180)&gt;1,"ID重复",IF(COUNTIF('案件'!$A$2:$A$201,B180)&lt;&gt;1,"案件ID无效",IF(D180=E180,"A与B任务相同",IF(OR(COUNTIF('任务登记'!$A$2:$A$201,D180)&lt;&gt;1,COUNTIF('任务登记'!$A$2:$A$201,E180)&lt;&gt;1),"裁决任务ID无效",IF(OR(INDEX('任务登记'!$B$2:$B$201,MATCH(D180,'任务登记'!$A$2:$A$201,0))&lt;&gt;B180,INDEX('任务登记'!$B$2:$B$201,MATCH(E180,'任务登记'!$A$2:$A$201,0))&lt;&gt;B180),"裁决任务跨案",IF(OR(INDEX('任务登记'!$F$2:$F$201,MATCH(D180,'任务登记'!$A$2:$A$201,0))&lt;&gt;"A",INDEX('任务登记'!$F$2:$F$201,MATCH(E180,'任务登记'!$A$2:$A$201,0))&lt;&gt;"B"),"裁决角色不符",IF(INDEX('任务登记'!$E$2:$E$201,MATCH(D180,'任务登记'!$A$2:$A$201,0))=INDEX('任务登记'!$E$2:$E$201,MATCH(E180,'任务登记'!$A$2:$A$201,0)),"A与B为同一人",IF(OR(M180=INDEX('任务登记'!$E$2:$E$201,MATCH(D180,'任务登记'!$A$2:$A$201,0)),M180=INDEX('任务登记'!$E$2:$E$201,MATCH(E180,'任务登记'!$A$2:$A$201,0))),"裁决者参与原标注","字段齐备"))))))))))</x:f>
      </x:c>
    </x:row>
    <x:row r="181" ht="3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10" t="str">
        <x:f>IF(COUNTA(A181:P181)=0,"",IF(OR(A181="",B181="",C181="",D181="",E181="",F181="",G181="",H181="",I181="",J181="",K181="",L181="",M181="",N181="",O181=""),"缺必填",IF(COUNTIF($A$2:$A$201,A181)&gt;1,"ID重复",IF(COUNTIF('案件'!$A$2:$A$201,B181)&lt;&gt;1,"案件ID无效",IF(D181=E181,"A与B任务相同",IF(OR(COUNTIF('任务登记'!$A$2:$A$201,D181)&lt;&gt;1,COUNTIF('任务登记'!$A$2:$A$201,E181)&lt;&gt;1),"裁决任务ID无效",IF(OR(INDEX('任务登记'!$B$2:$B$201,MATCH(D181,'任务登记'!$A$2:$A$201,0))&lt;&gt;B181,INDEX('任务登记'!$B$2:$B$201,MATCH(E181,'任务登记'!$A$2:$A$201,0))&lt;&gt;B181),"裁决任务跨案",IF(OR(INDEX('任务登记'!$F$2:$F$201,MATCH(D181,'任务登记'!$A$2:$A$201,0))&lt;&gt;"A",INDEX('任务登记'!$F$2:$F$201,MATCH(E181,'任务登记'!$A$2:$A$201,0))&lt;&gt;"B"),"裁决角色不符",IF(INDEX('任务登记'!$E$2:$E$201,MATCH(D181,'任务登记'!$A$2:$A$201,0))=INDEX('任务登记'!$E$2:$E$201,MATCH(E181,'任务登记'!$A$2:$A$201,0)),"A与B为同一人",IF(OR(M181=INDEX('任务登记'!$E$2:$E$201,MATCH(D181,'任务登记'!$A$2:$A$201,0)),M181=INDEX('任务登记'!$E$2:$E$201,MATCH(E181,'任务登记'!$A$2:$A$201,0))),"裁决者参与原标注","字段齐备"))))))))))</x:f>
      </x:c>
    </x:row>
    <x:row r="182" ht="3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10" t="str">
        <x:f>IF(COUNTA(A182:P182)=0,"",IF(OR(A182="",B182="",C182="",D182="",E182="",F182="",G182="",H182="",I182="",J182="",K182="",L182="",M182="",N182="",O182=""),"缺必填",IF(COUNTIF($A$2:$A$201,A182)&gt;1,"ID重复",IF(COUNTIF('案件'!$A$2:$A$201,B182)&lt;&gt;1,"案件ID无效",IF(D182=E182,"A与B任务相同",IF(OR(COUNTIF('任务登记'!$A$2:$A$201,D182)&lt;&gt;1,COUNTIF('任务登记'!$A$2:$A$201,E182)&lt;&gt;1),"裁决任务ID无效",IF(OR(INDEX('任务登记'!$B$2:$B$201,MATCH(D182,'任务登记'!$A$2:$A$201,0))&lt;&gt;B182,INDEX('任务登记'!$B$2:$B$201,MATCH(E182,'任务登记'!$A$2:$A$201,0))&lt;&gt;B182),"裁决任务跨案",IF(OR(INDEX('任务登记'!$F$2:$F$201,MATCH(D182,'任务登记'!$A$2:$A$201,0))&lt;&gt;"A",INDEX('任务登记'!$F$2:$F$201,MATCH(E182,'任务登记'!$A$2:$A$201,0))&lt;&gt;"B"),"裁决角色不符",IF(INDEX('任务登记'!$E$2:$E$201,MATCH(D182,'任务登记'!$A$2:$A$201,0))=INDEX('任务登记'!$E$2:$E$201,MATCH(E182,'任务登记'!$A$2:$A$201,0)),"A与B为同一人",IF(OR(M182=INDEX('任务登记'!$E$2:$E$201,MATCH(D182,'任务登记'!$A$2:$A$201,0)),M182=INDEX('任务登记'!$E$2:$E$201,MATCH(E182,'任务登记'!$A$2:$A$201,0))),"裁决者参与原标注","字段齐备"))))))))))</x:f>
      </x:c>
    </x:row>
    <x:row r="183" ht="3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10" t="str">
        <x:f>IF(COUNTA(A183:P183)=0,"",IF(OR(A183="",B183="",C183="",D183="",E183="",F183="",G183="",H183="",I183="",J183="",K183="",L183="",M183="",N183="",O183=""),"缺必填",IF(COUNTIF($A$2:$A$201,A183)&gt;1,"ID重复",IF(COUNTIF('案件'!$A$2:$A$201,B183)&lt;&gt;1,"案件ID无效",IF(D183=E183,"A与B任务相同",IF(OR(COUNTIF('任务登记'!$A$2:$A$201,D183)&lt;&gt;1,COUNTIF('任务登记'!$A$2:$A$201,E183)&lt;&gt;1),"裁决任务ID无效",IF(OR(INDEX('任务登记'!$B$2:$B$201,MATCH(D183,'任务登记'!$A$2:$A$201,0))&lt;&gt;B183,INDEX('任务登记'!$B$2:$B$201,MATCH(E183,'任务登记'!$A$2:$A$201,0))&lt;&gt;B183),"裁决任务跨案",IF(OR(INDEX('任务登记'!$F$2:$F$201,MATCH(D183,'任务登记'!$A$2:$A$201,0))&lt;&gt;"A",INDEX('任务登记'!$F$2:$F$201,MATCH(E183,'任务登记'!$A$2:$A$201,0))&lt;&gt;"B"),"裁决角色不符",IF(INDEX('任务登记'!$E$2:$E$201,MATCH(D183,'任务登记'!$A$2:$A$201,0))=INDEX('任务登记'!$E$2:$E$201,MATCH(E183,'任务登记'!$A$2:$A$201,0)),"A与B为同一人",IF(OR(M183=INDEX('任务登记'!$E$2:$E$201,MATCH(D183,'任务登记'!$A$2:$A$201,0)),M183=INDEX('任务登记'!$E$2:$E$201,MATCH(E183,'任务登记'!$A$2:$A$201,0))),"裁决者参与原标注","字段齐备"))))))))))</x:f>
      </x:c>
    </x:row>
    <x:row r="184" ht="3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10" t="str">
        <x:f>IF(COUNTA(A184:P184)=0,"",IF(OR(A184="",B184="",C184="",D184="",E184="",F184="",G184="",H184="",I184="",J184="",K184="",L184="",M184="",N184="",O184=""),"缺必填",IF(COUNTIF($A$2:$A$201,A184)&gt;1,"ID重复",IF(COUNTIF('案件'!$A$2:$A$201,B184)&lt;&gt;1,"案件ID无效",IF(D184=E184,"A与B任务相同",IF(OR(COUNTIF('任务登记'!$A$2:$A$201,D184)&lt;&gt;1,COUNTIF('任务登记'!$A$2:$A$201,E184)&lt;&gt;1),"裁决任务ID无效",IF(OR(INDEX('任务登记'!$B$2:$B$201,MATCH(D184,'任务登记'!$A$2:$A$201,0))&lt;&gt;B184,INDEX('任务登记'!$B$2:$B$201,MATCH(E184,'任务登记'!$A$2:$A$201,0))&lt;&gt;B184),"裁决任务跨案",IF(OR(INDEX('任务登记'!$F$2:$F$201,MATCH(D184,'任务登记'!$A$2:$A$201,0))&lt;&gt;"A",INDEX('任务登记'!$F$2:$F$201,MATCH(E184,'任务登记'!$A$2:$A$201,0))&lt;&gt;"B"),"裁决角色不符",IF(INDEX('任务登记'!$E$2:$E$201,MATCH(D184,'任务登记'!$A$2:$A$201,0))=INDEX('任务登记'!$E$2:$E$201,MATCH(E184,'任务登记'!$A$2:$A$201,0)),"A与B为同一人",IF(OR(M184=INDEX('任务登记'!$E$2:$E$201,MATCH(D184,'任务登记'!$A$2:$A$201,0)),M184=INDEX('任务登记'!$E$2:$E$201,MATCH(E184,'任务登记'!$A$2:$A$201,0))),"裁决者参与原标注","字段齐备"))))))))))</x:f>
      </x:c>
    </x:row>
    <x:row r="185" ht="3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10" t="str">
        <x:f>IF(COUNTA(A185:P185)=0,"",IF(OR(A185="",B185="",C185="",D185="",E185="",F185="",G185="",H185="",I185="",J185="",K185="",L185="",M185="",N185="",O185=""),"缺必填",IF(COUNTIF($A$2:$A$201,A185)&gt;1,"ID重复",IF(COUNTIF('案件'!$A$2:$A$201,B185)&lt;&gt;1,"案件ID无效",IF(D185=E185,"A与B任务相同",IF(OR(COUNTIF('任务登记'!$A$2:$A$201,D185)&lt;&gt;1,COUNTIF('任务登记'!$A$2:$A$201,E185)&lt;&gt;1),"裁决任务ID无效",IF(OR(INDEX('任务登记'!$B$2:$B$201,MATCH(D185,'任务登记'!$A$2:$A$201,0))&lt;&gt;B185,INDEX('任务登记'!$B$2:$B$201,MATCH(E185,'任务登记'!$A$2:$A$201,0))&lt;&gt;B185),"裁决任务跨案",IF(OR(INDEX('任务登记'!$F$2:$F$201,MATCH(D185,'任务登记'!$A$2:$A$201,0))&lt;&gt;"A",INDEX('任务登记'!$F$2:$F$201,MATCH(E185,'任务登记'!$A$2:$A$201,0))&lt;&gt;"B"),"裁决角色不符",IF(INDEX('任务登记'!$E$2:$E$201,MATCH(D185,'任务登记'!$A$2:$A$201,0))=INDEX('任务登记'!$E$2:$E$201,MATCH(E185,'任务登记'!$A$2:$A$201,0)),"A与B为同一人",IF(OR(M185=INDEX('任务登记'!$E$2:$E$201,MATCH(D185,'任务登记'!$A$2:$A$201,0)),M185=INDEX('任务登记'!$E$2:$E$201,MATCH(E185,'任务登记'!$A$2:$A$201,0))),"裁决者参与原标注","字段齐备"))))))))))</x:f>
      </x:c>
    </x:row>
    <x:row r="186" ht="3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10" t="str">
        <x:f>IF(COUNTA(A186:P186)=0,"",IF(OR(A186="",B186="",C186="",D186="",E186="",F186="",G186="",H186="",I186="",J186="",K186="",L186="",M186="",N186="",O186=""),"缺必填",IF(COUNTIF($A$2:$A$201,A186)&gt;1,"ID重复",IF(COUNTIF('案件'!$A$2:$A$201,B186)&lt;&gt;1,"案件ID无效",IF(D186=E186,"A与B任务相同",IF(OR(COUNTIF('任务登记'!$A$2:$A$201,D186)&lt;&gt;1,COUNTIF('任务登记'!$A$2:$A$201,E186)&lt;&gt;1),"裁决任务ID无效",IF(OR(INDEX('任务登记'!$B$2:$B$201,MATCH(D186,'任务登记'!$A$2:$A$201,0))&lt;&gt;B186,INDEX('任务登记'!$B$2:$B$201,MATCH(E186,'任务登记'!$A$2:$A$201,0))&lt;&gt;B186),"裁决任务跨案",IF(OR(INDEX('任务登记'!$F$2:$F$201,MATCH(D186,'任务登记'!$A$2:$A$201,0))&lt;&gt;"A",INDEX('任务登记'!$F$2:$F$201,MATCH(E186,'任务登记'!$A$2:$A$201,0))&lt;&gt;"B"),"裁决角色不符",IF(INDEX('任务登记'!$E$2:$E$201,MATCH(D186,'任务登记'!$A$2:$A$201,0))=INDEX('任务登记'!$E$2:$E$201,MATCH(E186,'任务登记'!$A$2:$A$201,0)),"A与B为同一人",IF(OR(M186=INDEX('任务登记'!$E$2:$E$201,MATCH(D186,'任务登记'!$A$2:$A$201,0)),M186=INDEX('任务登记'!$E$2:$E$201,MATCH(E186,'任务登记'!$A$2:$A$201,0))),"裁决者参与原标注","字段齐备"))))))))))</x:f>
      </x:c>
    </x:row>
    <x:row r="187" ht="3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10" t="str">
        <x:f>IF(COUNTA(A187:P187)=0,"",IF(OR(A187="",B187="",C187="",D187="",E187="",F187="",G187="",H187="",I187="",J187="",K187="",L187="",M187="",N187="",O187=""),"缺必填",IF(COUNTIF($A$2:$A$201,A187)&gt;1,"ID重复",IF(COUNTIF('案件'!$A$2:$A$201,B187)&lt;&gt;1,"案件ID无效",IF(D187=E187,"A与B任务相同",IF(OR(COUNTIF('任务登记'!$A$2:$A$201,D187)&lt;&gt;1,COUNTIF('任务登记'!$A$2:$A$201,E187)&lt;&gt;1),"裁决任务ID无效",IF(OR(INDEX('任务登记'!$B$2:$B$201,MATCH(D187,'任务登记'!$A$2:$A$201,0))&lt;&gt;B187,INDEX('任务登记'!$B$2:$B$201,MATCH(E187,'任务登记'!$A$2:$A$201,0))&lt;&gt;B187),"裁决任务跨案",IF(OR(INDEX('任务登记'!$F$2:$F$201,MATCH(D187,'任务登记'!$A$2:$A$201,0))&lt;&gt;"A",INDEX('任务登记'!$F$2:$F$201,MATCH(E187,'任务登记'!$A$2:$A$201,0))&lt;&gt;"B"),"裁决角色不符",IF(INDEX('任务登记'!$E$2:$E$201,MATCH(D187,'任务登记'!$A$2:$A$201,0))=INDEX('任务登记'!$E$2:$E$201,MATCH(E187,'任务登记'!$A$2:$A$201,0)),"A与B为同一人",IF(OR(M187=INDEX('任务登记'!$E$2:$E$201,MATCH(D187,'任务登记'!$A$2:$A$201,0)),M187=INDEX('任务登记'!$E$2:$E$201,MATCH(E187,'任务登记'!$A$2:$A$201,0))),"裁决者参与原标注","字段齐备"))))))))))</x:f>
      </x:c>
    </x:row>
    <x:row r="188" ht="3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10" t="str">
        <x:f>IF(COUNTA(A188:P188)=0,"",IF(OR(A188="",B188="",C188="",D188="",E188="",F188="",G188="",H188="",I188="",J188="",K188="",L188="",M188="",N188="",O188=""),"缺必填",IF(COUNTIF($A$2:$A$201,A188)&gt;1,"ID重复",IF(COUNTIF('案件'!$A$2:$A$201,B188)&lt;&gt;1,"案件ID无效",IF(D188=E188,"A与B任务相同",IF(OR(COUNTIF('任务登记'!$A$2:$A$201,D188)&lt;&gt;1,COUNTIF('任务登记'!$A$2:$A$201,E188)&lt;&gt;1),"裁决任务ID无效",IF(OR(INDEX('任务登记'!$B$2:$B$201,MATCH(D188,'任务登记'!$A$2:$A$201,0))&lt;&gt;B188,INDEX('任务登记'!$B$2:$B$201,MATCH(E188,'任务登记'!$A$2:$A$201,0))&lt;&gt;B188),"裁决任务跨案",IF(OR(INDEX('任务登记'!$F$2:$F$201,MATCH(D188,'任务登记'!$A$2:$A$201,0))&lt;&gt;"A",INDEX('任务登记'!$F$2:$F$201,MATCH(E188,'任务登记'!$A$2:$A$201,0))&lt;&gt;"B"),"裁决角色不符",IF(INDEX('任务登记'!$E$2:$E$201,MATCH(D188,'任务登记'!$A$2:$A$201,0))=INDEX('任务登记'!$E$2:$E$201,MATCH(E188,'任务登记'!$A$2:$A$201,0)),"A与B为同一人",IF(OR(M188=INDEX('任务登记'!$E$2:$E$201,MATCH(D188,'任务登记'!$A$2:$A$201,0)),M188=INDEX('任务登记'!$E$2:$E$201,MATCH(E188,'任务登记'!$A$2:$A$201,0))),"裁决者参与原标注","字段齐备"))))))))))</x:f>
      </x:c>
    </x:row>
    <x:row r="189" ht="3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10" t="str">
        <x:f>IF(COUNTA(A189:P189)=0,"",IF(OR(A189="",B189="",C189="",D189="",E189="",F189="",G189="",H189="",I189="",J189="",K189="",L189="",M189="",N189="",O189=""),"缺必填",IF(COUNTIF($A$2:$A$201,A189)&gt;1,"ID重复",IF(COUNTIF('案件'!$A$2:$A$201,B189)&lt;&gt;1,"案件ID无效",IF(D189=E189,"A与B任务相同",IF(OR(COUNTIF('任务登记'!$A$2:$A$201,D189)&lt;&gt;1,COUNTIF('任务登记'!$A$2:$A$201,E189)&lt;&gt;1),"裁决任务ID无效",IF(OR(INDEX('任务登记'!$B$2:$B$201,MATCH(D189,'任务登记'!$A$2:$A$201,0))&lt;&gt;B189,INDEX('任务登记'!$B$2:$B$201,MATCH(E189,'任务登记'!$A$2:$A$201,0))&lt;&gt;B189),"裁决任务跨案",IF(OR(INDEX('任务登记'!$F$2:$F$201,MATCH(D189,'任务登记'!$A$2:$A$201,0))&lt;&gt;"A",INDEX('任务登记'!$F$2:$F$201,MATCH(E189,'任务登记'!$A$2:$A$201,0))&lt;&gt;"B"),"裁决角色不符",IF(INDEX('任务登记'!$E$2:$E$201,MATCH(D189,'任务登记'!$A$2:$A$201,0))=INDEX('任务登记'!$E$2:$E$201,MATCH(E189,'任务登记'!$A$2:$A$201,0)),"A与B为同一人",IF(OR(M189=INDEX('任务登记'!$E$2:$E$201,MATCH(D189,'任务登记'!$A$2:$A$201,0)),M189=INDEX('任务登记'!$E$2:$E$201,MATCH(E189,'任务登记'!$A$2:$A$201,0))),"裁决者参与原标注","字段齐备"))))))))))</x:f>
      </x:c>
    </x:row>
    <x:row r="190" ht="3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10" t="str">
        <x:f>IF(COUNTA(A190:P190)=0,"",IF(OR(A190="",B190="",C190="",D190="",E190="",F190="",G190="",H190="",I190="",J190="",K190="",L190="",M190="",N190="",O190=""),"缺必填",IF(COUNTIF($A$2:$A$201,A190)&gt;1,"ID重复",IF(COUNTIF('案件'!$A$2:$A$201,B190)&lt;&gt;1,"案件ID无效",IF(D190=E190,"A与B任务相同",IF(OR(COUNTIF('任务登记'!$A$2:$A$201,D190)&lt;&gt;1,COUNTIF('任务登记'!$A$2:$A$201,E190)&lt;&gt;1),"裁决任务ID无效",IF(OR(INDEX('任务登记'!$B$2:$B$201,MATCH(D190,'任务登记'!$A$2:$A$201,0))&lt;&gt;B190,INDEX('任务登记'!$B$2:$B$201,MATCH(E190,'任务登记'!$A$2:$A$201,0))&lt;&gt;B190),"裁决任务跨案",IF(OR(INDEX('任务登记'!$F$2:$F$201,MATCH(D190,'任务登记'!$A$2:$A$201,0))&lt;&gt;"A",INDEX('任务登记'!$F$2:$F$201,MATCH(E190,'任务登记'!$A$2:$A$201,0))&lt;&gt;"B"),"裁决角色不符",IF(INDEX('任务登记'!$E$2:$E$201,MATCH(D190,'任务登记'!$A$2:$A$201,0))=INDEX('任务登记'!$E$2:$E$201,MATCH(E190,'任务登记'!$A$2:$A$201,0)),"A与B为同一人",IF(OR(M190=INDEX('任务登记'!$E$2:$E$201,MATCH(D190,'任务登记'!$A$2:$A$201,0)),M190=INDEX('任务登记'!$E$2:$E$201,MATCH(E190,'任务登记'!$A$2:$A$201,0))),"裁决者参与原标注","字段齐备"))))))))))</x:f>
      </x:c>
    </x:row>
    <x:row r="191" ht="3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10" t="str">
        <x:f>IF(COUNTA(A191:P191)=0,"",IF(OR(A191="",B191="",C191="",D191="",E191="",F191="",G191="",H191="",I191="",J191="",K191="",L191="",M191="",N191="",O191=""),"缺必填",IF(COUNTIF($A$2:$A$201,A191)&gt;1,"ID重复",IF(COUNTIF('案件'!$A$2:$A$201,B191)&lt;&gt;1,"案件ID无效",IF(D191=E191,"A与B任务相同",IF(OR(COUNTIF('任务登记'!$A$2:$A$201,D191)&lt;&gt;1,COUNTIF('任务登记'!$A$2:$A$201,E191)&lt;&gt;1),"裁决任务ID无效",IF(OR(INDEX('任务登记'!$B$2:$B$201,MATCH(D191,'任务登记'!$A$2:$A$201,0))&lt;&gt;B191,INDEX('任务登记'!$B$2:$B$201,MATCH(E191,'任务登记'!$A$2:$A$201,0))&lt;&gt;B191),"裁决任务跨案",IF(OR(INDEX('任务登记'!$F$2:$F$201,MATCH(D191,'任务登记'!$A$2:$A$201,0))&lt;&gt;"A",INDEX('任务登记'!$F$2:$F$201,MATCH(E191,'任务登记'!$A$2:$A$201,0))&lt;&gt;"B"),"裁决角色不符",IF(INDEX('任务登记'!$E$2:$E$201,MATCH(D191,'任务登记'!$A$2:$A$201,0))=INDEX('任务登记'!$E$2:$E$201,MATCH(E191,'任务登记'!$A$2:$A$201,0)),"A与B为同一人",IF(OR(M191=INDEX('任务登记'!$E$2:$E$201,MATCH(D191,'任务登记'!$A$2:$A$201,0)),M191=INDEX('任务登记'!$E$2:$E$201,MATCH(E191,'任务登记'!$A$2:$A$201,0))),"裁决者参与原标注","字段齐备"))))))))))</x:f>
      </x:c>
    </x:row>
    <x:row r="192" ht="3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10" t="str">
        <x:f>IF(COUNTA(A192:P192)=0,"",IF(OR(A192="",B192="",C192="",D192="",E192="",F192="",G192="",H192="",I192="",J192="",K192="",L192="",M192="",N192="",O192=""),"缺必填",IF(COUNTIF($A$2:$A$201,A192)&gt;1,"ID重复",IF(COUNTIF('案件'!$A$2:$A$201,B192)&lt;&gt;1,"案件ID无效",IF(D192=E192,"A与B任务相同",IF(OR(COUNTIF('任务登记'!$A$2:$A$201,D192)&lt;&gt;1,COUNTIF('任务登记'!$A$2:$A$201,E192)&lt;&gt;1),"裁决任务ID无效",IF(OR(INDEX('任务登记'!$B$2:$B$201,MATCH(D192,'任务登记'!$A$2:$A$201,0))&lt;&gt;B192,INDEX('任务登记'!$B$2:$B$201,MATCH(E192,'任务登记'!$A$2:$A$201,0))&lt;&gt;B192),"裁决任务跨案",IF(OR(INDEX('任务登记'!$F$2:$F$201,MATCH(D192,'任务登记'!$A$2:$A$201,0))&lt;&gt;"A",INDEX('任务登记'!$F$2:$F$201,MATCH(E192,'任务登记'!$A$2:$A$201,0))&lt;&gt;"B"),"裁决角色不符",IF(INDEX('任务登记'!$E$2:$E$201,MATCH(D192,'任务登记'!$A$2:$A$201,0))=INDEX('任务登记'!$E$2:$E$201,MATCH(E192,'任务登记'!$A$2:$A$201,0)),"A与B为同一人",IF(OR(M192=INDEX('任务登记'!$E$2:$E$201,MATCH(D192,'任务登记'!$A$2:$A$201,0)),M192=INDEX('任务登记'!$E$2:$E$201,MATCH(E192,'任务登记'!$A$2:$A$201,0))),"裁决者参与原标注","字段齐备"))))))))))</x:f>
      </x:c>
    </x:row>
    <x:row r="193" ht="3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10" t="str">
        <x:f>IF(COUNTA(A193:P193)=0,"",IF(OR(A193="",B193="",C193="",D193="",E193="",F193="",G193="",H193="",I193="",J193="",K193="",L193="",M193="",N193="",O193=""),"缺必填",IF(COUNTIF($A$2:$A$201,A193)&gt;1,"ID重复",IF(COUNTIF('案件'!$A$2:$A$201,B193)&lt;&gt;1,"案件ID无效",IF(D193=E193,"A与B任务相同",IF(OR(COUNTIF('任务登记'!$A$2:$A$201,D193)&lt;&gt;1,COUNTIF('任务登记'!$A$2:$A$201,E193)&lt;&gt;1),"裁决任务ID无效",IF(OR(INDEX('任务登记'!$B$2:$B$201,MATCH(D193,'任务登记'!$A$2:$A$201,0))&lt;&gt;B193,INDEX('任务登记'!$B$2:$B$201,MATCH(E193,'任务登记'!$A$2:$A$201,0))&lt;&gt;B193),"裁决任务跨案",IF(OR(INDEX('任务登记'!$F$2:$F$201,MATCH(D193,'任务登记'!$A$2:$A$201,0))&lt;&gt;"A",INDEX('任务登记'!$F$2:$F$201,MATCH(E193,'任务登记'!$A$2:$A$201,0))&lt;&gt;"B"),"裁决角色不符",IF(INDEX('任务登记'!$E$2:$E$201,MATCH(D193,'任务登记'!$A$2:$A$201,0))=INDEX('任务登记'!$E$2:$E$201,MATCH(E193,'任务登记'!$A$2:$A$201,0)),"A与B为同一人",IF(OR(M193=INDEX('任务登记'!$E$2:$E$201,MATCH(D193,'任务登记'!$A$2:$A$201,0)),M193=INDEX('任务登记'!$E$2:$E$201,MATCH(E193,'任务登记'!$A$2:$A$201,0))),"裁决者参与原标注","字段齐备"))))))))))</x:f>
      </x:c>
    </x:row>
    <x:row r="194" ht="3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10" t="str">
        <x:f>IF(COUNTA(A194:P194)=0,"",IF(OR(A194="",B194="",C194="",D194="",E194="",F194="",G194="",H194="",I194="",J194="",K194="",L194="",M194="",N194="",O194=""),"缺必填",IF(COUNTIF($A$2:$A$201,A194)&gt;1,"ID重复",IF(COUNTIF('案件'!$A$2:$A$201,B194)&lt;&gt;1,"案件ID无效",IF(D194=E194,"A与B任务相同",IF(OR(COUNTIF('任务登记'!$A$2:$A$201,D194)&lt;&gt;1,COUNTIF('任务登记'!$A$2:$A$201,E194)&lt;&gt;1),"裁决任务ID无效",IF(OR(INDEX('任务登记'!$B$2:$B$201,MATCH(D194,'任务登记'!$A$2:$A$201,0))&lt;&gt;B194,INDEX('任务登记'!$B$2:$B$201,MATCH(E194,'任务登记'!$A$2:$A$201,0))&lt;&gt;B194),"裁决任务跨案",IF(OR(INDEX('任务登记'!$F$2:$F$201,MATCH(D194,'任务登记'!$A$2:$A$201,0))&lt;&gt;"A",INDEX('任务登记'!$F$2:$F$201,MATCH(E194,'任务登记'!$A$2:$A$201,0))&lt;&gt;"B"),"裁决角色不符",IF(INDEX('任务登记'!$E$2:$E$201,MATCH(D194,'任务登记'!$A$2:$A$201,0))=INDEX('任务登记'!$E$2:$E$201,MATCH(E194,'任务登记'!$A$2:$A$201,0)),"A与B为同一人",IF(OR(M194=INDEX('任务登记'!$E$2:$E$201,MATCH(D194,'任务登记'!$A$2:$A$201,0)),M194=INDEX('任务登记'!$E$2:$E$201,MATCH(E194,'任务登记'!$A$2:$A$201,0))),"裁决者参与原标注","字段齐备"))))))))))</x:f>
      </x:c>
    </x:row>
    <x:row r="195" ht="3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10" t="str">
        <x:f>IF(COUNTA(A195:P195)=0,"",IF(OR(A195="",B195="",C195="",D195="",E195="",F195="",G195="",H195="",I195="",J195="",K195="",L195="",M195="",N195="",O195=""),"缺必填",IF(COUNTIF($A$2:$A$201,A195)&gt;1,"ID重复",IF(COUNTIF('案件'!$A$2:$A$201,B195)&lt;&gt;1,"案件ID无效",IF(D195=E195,"A与B任务相同",IF(OR(COUNTIF('任务登记'!$A$2:$A$201,D195)&lt;&gt;1,COUNTIF('任务登记'!$A$2:$A$201,E195)&lt;&gt;1),"裁决任务ID无效",IF(OR(INDEX('任务登记'!$B$2:$B$201,MATCH(D195,'任务登记'!$A$2:$A$201,0))&lt;&gt;B195,INDEX('任务登记'!$B$2:$B$201,MATCH(E195,'任务登记'!$A$2:$A$201,0))&lt;&gt;B195),"裁决任务跨案",IF(OR(INDEX('任务登记'!$F$2:$F$201,MATCH(D195,'任务登记'!$A$2:$A$201,0))&lt;&gt;"A",INDEX('任务登记'!$F$2:$F$201,MATCH(E195,'任务登记'!$A$2:$A$201,0))&lt;&gt;"B"),"裁决角色不符",IF(INDEX('任务登记'!$E$2:$E$201,MATCH(D195,'任务登记'!$A$2:$A$201,0))=INDEX('任务登记'!$E$2:$E$201,MATCH(E195,'任务登记'!$A$2:$A$201,0)),"A与B为同一人",IF(OR(M195=INDEX('任务登记'!$E$2:$E$201,MATCH(D195,'任务登记'!$A$2:$A$201,0)),M195=INDEX('任务登记'!$E$2:$E$201,MATCH(E195,'任务登记'!$A$2:$A$201,0))),"裁决者参与原标注","字段齐备"))))))))))</x:f>
      </x:c>
    </x:row>
    <x:row r="196" ht="3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10" t="str">
        <x:f>IF(COUNTA(A196:P196)=0,"",IF(OR(A196="",B196="",C196="",D196="",E196="",F196="",G196="",H196="",I196="",J196="",K196="",L196="",M196="",N196="",O196=""),"缺必填",IF(COUNTIF($A$2:$A$201,A196)&gt;1,"ID重复",IF(COUNTIF('案件'!$A$2:$A$201,B196)&lt;&gt;1,"案件ID无效",IF(D196=E196,"A与B任务相同",IF(OR(COUNTIF('任务登记'!$A$2:$A$201,D196)&lt;&gt;1,COUNTIF('任务登记'!$A$2:$A$201,E196)&lt;&gt;1),"裁决任务ID无效",IF(OR(INDEX('任务登记'!$B$2:$B$201,MATCH(D196,'任务登记'!$A$2:$A$201,0))&lt;&gt;B196,INDEX('任务登记'!$B$2:$B$201,MATCH(E196,'任务登记'!$A$2:$A$201,0))&lt;&gt;B196),"裁决任务跨案",IF(OR(INDEX('任务登记'!$F$2:$F$201,MATCH(D196,'任务登记'!$A$2:$A$201,0))&lt;&gt;"A",INDEX('任务登记'!$F$2:$F$201,MATCH(E196,'任务登记'!$A$2:$A$201,0))&lt;&gt;"B"),"裁决角色不符",IF(INDEX('任务登记'!$E$2:$E$201,MATCH(D196,'任务登记'!$A$2:$A$201,0))=INDEX('任务登记'!$E$2:$E$201,MATCH(E196,'任务登记'!$A$2:$A$201,0)),"A与B为同一人",IF(OR(M196=INDEX('任务登记'!$E$2:$E$201,MATCH(D196,'任务登记'!$A$2:$A$201,0)),M196=INDEX('任务登记'!$E$2:$E$201,MATCH(E196,'任务登记'!$A$2:$A$201,0))),"裁决者参与原标注","字段齐备"))))))))))</x:f>
      </x:c>
    </x:row>
    <x:row r="197" ht="3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10" t="str">
        <x:f>IF(COUNTA(A197:P197)=0,"",IF(OR(A197="",B197="",C197="",D197="",E197="",F197="",G197="",H197="",I197="",J197="",K197="",L197="",M197="",N197="",O197=""),"缺必填",IF(COUNTIF($A$2:$A$201,A197)&gt;1,"ID重复",IF(COUNTIF('案件'!$A$2:$A$201,B197)&lt;&gt;1,"案件ID无效",IF(D197=E197,"A与B任务相同",IF(OR(COUNTIF('任务登记'!$A$2:$A$201,D197)&lt;&gt;1,COUNTIF('任务登记'!$A$2:$A$201,E197)&lt;&gt;1),"裁决任务ID无效",IF(OR(INDEX('任务登记'!$B$2:$B$201,MATCH(D197,'任务登记'!$A$2:$A$201,0))&lt;&gt;B197,INDEX('任务登记'!$B$2:$B$201,MATCH(E197,'任务登记'!$A$2:$A$201,0))&lt;&gt;B197),"裁决任务跨案",IF(OR(INDEX('任务登记'!$F$2:$F$201,MATCH(D197,'任务登记'!$A$2:$A$201,0))&lt;&gt;"A",INDEX('任务登记'!$F$2:$F$201,MATCH(E197,'任务登记'!$A$2:$A$201,0))&lt;&gt;"B"),"裁决角色不符",IF(INDEX('任务登记'!$E$2:$E$201,MATCH(D197,'任务登记'!$A$2:$A$201,0))=INDEX('任务登记'!$E$2:$E$201,MATCH(E197,'任务登记'!$A$2:$A$201,0)),"A与B为同一人",IF(OR(M197=INDEX('任务登记'!$E$2:$E$201,MATCH(D197,'任务登记'!$A$2:$A$201,0)),M197=INDEX('任务登记'!$E$2:$E$201,MATCH(E197,'任务登记'!$A$2:$A$201,0))),"裁决者参与原标注","字段齐备"))))))))))</x:f>
      </x:c>
    </x:row>
    <x:row r="198" ht="3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10" t="str">
        <x:f>IF(COUNTA(A198:P198)=0,"",IF(OR(A198="",B198="",C198="",D198="",E198="",F198="",G198="",H198="",I198="",J198="",K198="",L198="",M198="",N198="",O198=""),"缺必填",IF(COUNTIF($A$2:$A$201,A198)&gt;1,"ID重复",IF(COUNTIF('案件'!$A$2:$A$201,B198)&lt;&gt;1,"案件ID无效",IF(D198=E198,"A与B任务相同",IF(OR(COUNTIF('任务登记'!$A$2:$A$201,D198)&lt;&gt;1,COUNTIF('任务登记'!$A$2:$A$201,E198)&lt;&gt;1),"裁决任务ID无效",IF(OR(INDEX('任务登记'!$B$2:$B$201,MATCH(D198,'任务登记'!$A$2:$A$201,0))&lt;&gt;B198,INDEX('任务登记'!$B$2:$B$201,MATCH(E198,'任务登记'!$A$2:$A$201,0))&lt;&gt;B198),"裁决任务跨案",IF(OR(INDEX('任务登记'!$F$2:$F$201,MATCH(D198,'任务登记'!$A$2:$A$201,0))&lt;&gt;"A",INDEX('任务登记'!$F$2:$F$201,MATCH(E198,'任务登记'!$A$2:$A$201,0))&lt;&gt;"B"),"裁决角色不符",IF(INDEX('任务登记'!$E$2:$E$201,MATCH(D198,'任务登记'!$A$2:$A$201,0))=INDEX('任务登记'!$E$2:$E$201,MATCH(E198,'任务登记'!$A$2:$A$201,0)),"A与B为同一人",IF(OR(M198=INDEX('任务登记'!$E$2:$E$201,MATCH(D198,'任务登记'!$A$2:$A$201,0)),M198=INDEX('任务登记'!$E$2:$E$201,MATCH(E198,'任务登记'!$A$2:$A$201,0))),"裁决者参与原标注","字段齐备"))))))))))</x:f>
      </x:c>
    </x:row>
    <x:row r="199" ht="3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10" t="str">
        <x:f>IF(COUNTA(A199:P199)=0,"",IF(OR(A199="",B199="",C199="",D199="",E199="",F199="",G199="",H199="",I199="",J199="",K199="",L199="",M199="",N199="",O199=""),"缺必填",IF(COUNTIF($A$2:$A$201,A199)&gt;1,"ID重复",IF(COUNTIF('案件'!$A$2:$A$201,B199)&lt;&gt;1,"案件ID无效",IF(D199=E199,"A与B任务相同",IF(OR(COUNTIF('任务登记'!$A$2:$A$201,D199)&lt;&gt;1,COUNTIF('任务登记'!$A$2:$A$201,E199)&lt;&gt;1),"裁决任务ID无效",IF(OR(INDEX('任务登记'!$B$2:$B$201,MATCH(D199,'任务登记'!$A$2:$A$201,0))&lt;&gt;B199,INDEX('任务登记'!$B$2:$B$201,MATCH(E199,'任务登记'!$A$2:$A$201,0))&lt;&gt;B199),"裁决任务跨案",IF(OR(INDEX('任务登记'!$F$2:$F$201,MATCH(D199,'任务登记'!$A$2:$A$201,0))&lt;&gt;"A",INDEX('任务登记'!$F$2:$F$201,MATCH(E199,'任务登记'!$A$2:$A$201,0))&lt;&gt;"B"),"裁决角色不符",IF(INDEX('任务登记'!$E$2:$E$201,MATCH(D199,'任务登记'!$A$2:$A$201,0))=INDEX('任务登记'!$E$2:$E$201,MATCH(E199,'任务登记'!$A$2:$A$201,0)),"A与B为同一人",IF(OR(M199=INDEX('任务登记'!$E$2:$E$201,MATCH(D199,'任务登记'!$A$2:$A$201,0)),M199=INDEX('任务登记'!$E$2:$E$201,MATCH(E199,'任务登记'!$A$2:$A$201,0))),"裁决者参与原标注","字段齐备"))))))))))</x:f>
      </x:c>
    </x:row>
    <x:row r="200" ht="3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10" t="str">
        <x:f>IF(COUNTA(A200:P200)=0,"",IF(OR(A200="",B200="",C200="",D200="",E200="",F200="",G200="",H200="",I200="",J200="",K200="",L200="",M200="",N200="",O200=""),"缺必填",IF(COUNTIF($A$2:$A$201,A200)&gt;1,"ID重复",IF(COUNTIF('案件'!$A$2:$A$201,B200)&lt;&gt;1,"案件ID无效",IF(D200=E200,"A与B任务相同",IF(OR(COUNTIF('任务登记'!$A$2:$A$201,D200)&lt;&gt;1,COUNTIF('任务登记'!$A$2:$A$201,E200)&lt;&gt;1),"裁决任务ID无效",IF(OR(INDEX('任务登记'!$B$2:$B$201,MATCH(D200,'任务登记'!$A$2:$A$201,0))&lt;&gt;B200,INDEX('任务登记'!$B$2:$B$201,MATCH(E200,'任务登记'!$A$2:$A$201,0))&lt;&gt;B200),"裁决任务跨案",IF(OR(INDEX('任务登记'!$F$2:$F$201,MATCH(D200,'任务登记'!$A$2:$A$201,0))&lt;&gt;"A",INDEX('任务登记'!$F$2:$F$201,MATCH(E200,'任务登记'!$A$2:$A$201,0))&lt;&gt;"B"),"裁决角色不符",IF(INDEX('任务登记'!$E$2:$E$201,MATCH(D200,'任务登记'!$A$2:$A$201,0))=INDEX('任务登记'!$E$2:$E$201,MATCH(E200,'任务登记'!$A$2:$A$201,0)),"A与B为同一人",IF(OR(M200=INDEX('任务登记'!$E$2:$E$201,MATCH(D200,'任务登记'!$A$2:$A$201,0)),M200=INDEX('任务登记'!$E$2:$E$201,MATCH(E200,'任务登记'!$A$2:$A$201,0))),"裁决者参与原标注","字段齐备"))))))))))</x:f>
      </x:c>
    </x:row>
    <x:row r="201" ht="3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10" t="str">
        <x:f>IF(COUNTA(A201:P201)=0,"",IF(OR(A201="",B201="",C201="",D201="",E201="",F201="",G201="",H201="",I201="",J201="",K201="",L201="",M201="",N201="",O201=""),"缺必填",IF(COUNTIF($A$2:$A$201,A201)&gt;1,"ID重复",IF(COUNTIF('案件'!$A$2:$A$201,B201)&lt;&gt;1,"案件ID无效",IF(D201=E201,"A与B任务相同",IF(OR(COUNTIF('任务登记'!$A$2:$A$201,D201)&lt;&gt;1,COUNTIF('任务登记'!$A$2:$A$201,E201)&lt;&gt;1),"裁决任务ID无效",IF(OR(INDEX('任务登记'!$B$2:$B$201,MATCH(D201,'任务登记'!$A$2:$A$201,0))&lt;&gt;B201,INDEX('任务登记'!$B$2:$B$201,MATCH(E201,'任务登记'!$A$2:$A$201,0))&lt;&gt;B201),"裁决任务跨案",IF(OR(INDEX('任务登记'!$F$2:$F$201,MATCH(D201,'任务登记'!$A$2:$A$201,0))&lt;&gt;"A",INDEX('任务登记'!$F$2:$F$201,MATCH(E201,'任务登记'!$A$2:$A$201,0))&lt;&gt;"B"),"裁决角色不符",IF(INDEX('任务登记'!$E$2:$E$201,MATCH(D201,'任务登记'!$A$2:$A$201,0))=INDEX('任务登记'!$E$2:$E$201,MATCH(E201,'任务登记'!$A$2:$A$201,0)),"A与B为同一人",IF(OR(M201=INDEX('任务登记'!$E$2:$E$201,MATCH(D201,'任务登记'!$A$2:$A$201,0)),M201=INDEX('任务登记'!$E$2:$E$201,MATCH(E201,'任务登记'!$A$2:$A$201,0))),"裁决者参与原标注","字段齐备"))))))))))</x:f>
      </x:c>
    </x:row>
  </x:sheetData>
  <x:conditionalFormatting sqref="A2:Q201">
    <x:cfRule type="expression" dxfId="12" priority="1">
      <x:formula>AND($Q2&lt;&gt;"",$Q2&lt;&gt;"字段齐备")</x:formula>
    </x:cfRule>
  </x:conditionalFormatting>
  <x:dataValidations count="1">
    <x:dataValidation type="list" sqref="I2:I201">
      <x:formula1>"采A,采B,第三方案,合理多方案,退回补标,材料不可判"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c5821c6ae4ec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74" hidden="0" customWidth="1"/>
    <x:col min="4" max="4" width="88" hidden="0" customWidth="1"/>
    <x:col min="5" max="5" width="66" hidden="0" customWidth="1"/>
  </x:cols>
  <x:sheetData>
    <x:row r="1" ht="52" customHeight="1">
      <x:c r="A1" s="6" t="str">
        <x:v>示例ID</x:v>
      </x:c>
      <x:c r="B1" s="6" t="str">
        <x:v>训练问题</x:v>
      </x:c>
      <x:c r="C1" s="6" t="str">
        <x:v>虚构材料</x:v>
      </x:c>
      <x:c r="D1" s="6" t="str">
        <x:v>建议标注方法</x:v>
      </x:c>
      <x:c r="E1" s="6" t="str">
        <x:v>常见错误</x:v>
      </x:c>
    </x:row>
    <x:row r="2" ht="142" customHeight="1">
      <x:c r="A2" s="3" t="str">
        <x:v>DEMO01</x:v>
      </x:c>
      <x:c r="B2" s="3" t="str">
        <x:v>预警主体与时间</x:v>
      </x:c>
      <x:c r="C2" s="3" t="str">
        <x:v>虚构：6月3日平台向甲发送账户风险提示。现有记录只有发送日志，未见接收、已读或告知内容全文。乙在6月2日完成账户出租。</x:v>
      </x:c>
      <x:c r="D2" s="3" t="str">
        <x:v>事件分别记录发送、出租。甲与乙不混同；6月3日发送不证明乙6月2日已明知。H04可为信息不足；CQ01、CQ02、CQ03。</x:v>
      </x:c>
      <x:c r="E2" s="3" t="str">
        <x:v>不能用平台已发送提示直接认定所有关联人员此前明知。</x:v>
      </x:c>
    </x:row>
    <x:row r="3" ht="142" customHeight="1">
      <x:c r="A3" s="3" t="str">
        <x:v>DEMO02</x:v>
      </x:c>
      <x:c r="B3" s="3" t="str">
        <x:v>帮信及正常业务</x:v>
      </x:c>
      <x:c r="C3" s="3" t="str">
        <x:v>虚构：丙提供服务器，有按市场价签署的合同和真实服务交付。另有聊天称客户可能做违法生意，但说话人归属尚未确认。</x:v>
      </x:c>
      <x:c r="D3" s="3" t="str">
        <x:v>H03记录服务及被利用关系；H04同时记录来源待核和正常业务解释；关系表分支持、挑战，S可为存在冲突或信息不足并解释。</x:v>
      </x:c>
      <x:c r="E3" s="3" t="str">
        <x:v>合同、收费正常不自动排除明知；一句违法生意不自动证明认识到信息网络犯罪。</x:v>
      </x:c>
    </x:row>
    <x:row r="4" ht="142" customHeight="1">
      <x:c r="A4" s="3" t="str">
        <x:v>DEMO03</x:v>
      </x:c>
      <x:c r="B4" s="3" t="str">
        <x:v>掩隐的所得对象</x:v>
      </x:c>
      <x:c r="C4" s="3" t="str">
        <x:v>虚构：资金7月5日入账、7月6日被丁分拆转出。报案材料指认该笔源于诈骗，但时间、金额与流水匹配仍有缺口。</x:v>
      </x:c>
      <x:c r="D4" s="3" t="str">
        <x:v>C02审查犯罪所得性质、形成时间和财物对应；C03审查操作；C04审查丁对所得性质的认识，分别记录支持与缺口。</x:v>
      </x:c>
      <x:c r="E4" s="3" t="str">
        <x:v>事后转账本身不同时证明犯罪所得属性、明知和掩饰隐瞒行为全部成立。</x:v>
      </x:c>
    </x:row>
    <x:row r="5" ht="142" customHeight="1">
      <x:c r="A5" s="3" t="str">
        <x:v>DEMO04</x:v>
      </x:c>
      <x:c r="B5" s="3" t="str">
        <x:v>诈骗共同犯罪</x:v>
      </x:c>
      <x:c r="C5" s="3" t="str">
        <x:v>虚构：戊仅名义任客服主管；另有记录显示己组织话术培训、指派对象并约定按诈骗业绩分成。</x:v>
      </x:c>
      <x:c r="D5" s="3" t="str">
        <x:v>戊己分别建实体和事件。己的F04以记录来源审查共同故意分工；戊不能仅凭职务推定。诈骗共同犯罪是诈骗罪的参与形态。</x:v>
      </x:c>
      <x:c r="E5" s="3" t="str">
        <x:v>分成、岗位或技术支持任何单项均非自动罪名分类器。</x:v>
      </x:c>
    </x:row>
    <x:row r="6" ht="142" customHeight="1">
      <x:c r="A6" s="3" t="str">
        <x:v>DEMO05</x:v>
      </x:c>
      <x:c r="B6" s="3" t="str">
        <x:v>八类金额与去重</x:v>
      </x:c>
      <x:c r="C6" s="3" t="str">
        <x:v>虚构：同一笔10万元由AC1转AC2，再回AC1；一份汇总表把三次流动计为30万元。丙获利1000元。</x:v>
      </x:c>
      <x:c r="D6" s="3" t="str">
        <x:v>分别记录账户流水、犯罪所得候选10万元、获利1000元；同批财物标同一去重批次，说明责任期间和每口径计算规则。</x:v>
      </x:c>
      <x:c r="E6" s="3" t="str">
        <x:v>不得把30万元流水、10万元所得和1000元获利相加成犯罪数额。</x:v>
      </x:c>
    </x:row>
    <x:row r="7" ht="142" customHeight="1">
      <x:c r="A7" s="3" t="str">
        <x:v>DEMO06</x:v>
      </x:c>
      <x:c r="B7" s="3" t="str">
        <x:v>明确更正与依赖传播</x:v>
      </x:c>
      <x:c r="C7" s="3" t="str">
        <x:v>虚构E0：S1将聊天发送者记为甲，摘要S2据此论证A1称甲被告知后继续。U1：原始提取报告S3明确更正该发送者为乙。</x:v>
      </x:c>
      <x:c r="D7" s="3" t="str">
        <x:v>更新S3只替代指定身份字段。A1核心根据丧失则STOP；S2不得当成独立佐证。新论证使用新ID。其他独立证据支持的A2可KEEP，S不必翻转。</x:v>
      </x:c>
      <x:c r="E7" s="3" t="str">
        <x:v>不得删除S1历史，不得把更正甲为乙等同证明甲不知道，也不能引用S2抵消其源S1的更正。</x:v>
      </x:c>
    </x:row>
    <x:row r="8" ht="142" customHeight="1">
      <x:c r="A8" s="3" t="str">
        <x:v>DEMO07</x:v>
      </x:c>
      <x:c r="B8" s="3" t="str">
        <x:v>修订与待核</x:v>
      </x:c>
      <x:c r="C8" s="3" t="str">
        <x:v>虚构：A3依有效日志覆盖1日至10日。更新明确撤回9日至10日数据，其余日志有效。另A4的两份独立原始记录互相冲突，暂不能排序。</x:v>
      </x:c>
      <x:c r="D8" s="3" t="str">
        <x:v>同核心根据且仅缩窄期间，A3可REVISE并新建论证版本；A4因具体冲突影响依据资格可PENDING，填写实质冲突。</x:v>
      </x:c>
      <x:c r="E8" s="3" t="str">
        <x:v>一般材料缺失或标注者不会判断不填PENDING；改变核心推断不能都算REVISE。</x:v>
      </x:c>
    </x:row>
    <x:row r="9" ht="142" customHeight="1">
      <x:c r="A9" s="3" t="str">
        <x:v>DEMO08</x:v>
      </x:c>
      <x:c r="B9" s="3" t="str">
        <x:v>法律规则核验</x:v>
      </x:c>
      <x:c r="C9" s="3" t="str">
        <x:v>虚构：模块给出相对不起诉即累犯、在校生减刑40%、合规反向清除后加刑30%。</x:v>
      </x:c>
      <x:c r="D9" s="3" t="str">
        <x:v>扩展审查逐项记录命题和待核规范。相对不起诉不是累犯前罪；学生与未成年人分别记录；未核实的固定比例不进金标。</x:v>
      </x:c>
      <x:c r="E9" s="3" t="str">
        <x:v>不能为了字段齐备把产品自设参数写成法定处罚。</x:v>
      </x:c>
    </x:row>
    <x:row r="10" ht="142" customHeight="1">
      <x:c r="A10" s="3" t="str">
        <x:v>DEMO09</x:v>
      </x:c>
      <x:c r="B10" s="3" t="str">
        <x:v>边界与非刑事路径</x:v>
      </x:c>
      <x:c r="C10" s="3" t="str">
        <x:v>虚构：庚只完成一般合同交付；当前材料不能关联到他人网络犯罪，也没有可定位的异常提示。</x:v>
      </x:c>
      <x:c r="D10" s="3" t="str">
        <x:v>H02、H04分别说明现有范围内信息不足；可以记录非刑事或其他候选路径，说明尚需的材料。保持证明责任与判断范围。</x:v>
      </x:c>
      <x:c r="E10" s="3" t="str">
        <x:v>未见证据不等于经证明绝对不存在；不得在三罪中强选最接近的一种。</x:v>
      </x:c>
    </x:row>
    <x:row r="11" ht="142" customHeight="1">
      <x:c r="A11" s="3" t="str">
        <x:v>DEMO10</x:v>
      </x:c>
      <x:c r="B11" s="3" t="str">
        <x:v>数额更正的下游影响</x:v>
      </x:c>
      <x:c r="C11" s="3" t="str">
        <x:v>虚构：原支付结算金额被重复计算，修正后低于正在引用的入罪阈值；同时缺少其他情节严重证据。</x:v>
      </x:c>
      <x:c r="D11" s="3" t="str">
        <x:v>金额建新版本，重新审查H05并沿关系检查定罪、量刑和文书字段。更新可影响多个模块，依据逐项判断。</x:v>
      </x:c>
      <x:c r="E11" s="3" t="str">
        <x:v>不能根据功能模块的简化示例认定金额变动只影响量刑。</x:v>
      </x:c>
    </x:row>
  </x:sheetData>
  <x:pageMargins left="0.7" right="0.7" top="0.75" bottom="0.75" header="0.3" footer="0.3"/>
  <x:tableParts count="1">
    <x:tablePart xmlns:r="http://schemas.openxmlformats.org/officeDocument/2006/relationships" r:id="R8ac0eeb1e81e422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52" hidden="0" customWidth="1"/>
    <x:col min="5" max="5" width="88" hidden="0" customWidth="1"/>
  </x:cols>
  <x:sheetData>
    <x:row r="1" ht="52" customHeight="1">
      <x:c r="A1" s="6" t="str">
        <x:v>类型</x:v>
      </x:c>
      <x:c r="B1" s="6" t="str">
        <x:v>代码组</x:v>
      </x:c>
      <x:c r="C1" s="6" t="str">
        <x:v>适用罪名</x:v>
      </x:c>
      <x:c r="D1" s="6" t="str">
        <x:v>标签或要件</x:v>
      </x:c>
      <x:c r="E1" s="6" t="str">
        <x:v>操作含义</x:v>
      </x:c>
    </x:row>
    <x:row r="2" ht="52" customHeight="1">
      <x:c r="A2" s="3" t="str">
        <x:v>要件</x:v>
      </x:c>
      <x:c r="B2" s="3" t="str">
        <x:v>H01</x:v>
      </x:c>
      <x:c r="C2" s="3" t="str">
        <x:v>帮信罪</x:v>
      </x:c>
      <x:c r="D2" s="3" t="str">
        <x:v>主体及单位责任</x:v>
      </x:c>
      <x:c r="E2" s="3" t="str">
        <x:v>行为时年龄责任能力；单位及人员分别审查</x:v>
      </x:c>
    </x:row>
    <x:row r="3" ht="52" customHeight="1">
      <x:c r="A3" s="3" t="str">
        <x:v>要件</x:v>
      </x:c>
      <x:c r="B3" s="3" t="str">
        <x:v>H02</x:v>
      </x:c>
      <x:c r="C3" s="3" t="str">
        <x:v>帮信罪</x:v>
      </x:c>
      <x:c r="D3" s="3" t="str">
        <x:v>被帮助的信息网络犯罪</x:v>
      </x:c>
      <x:c r="E3" s="3" t="str">
        <x:v>对象活动犯罪性质程度与查证状态；特别规则完整前提</x:v>
      </x:c>
    </x:row>
    <x:row r="4" ht="52" customHeight="1">
      <x:c r="A4" s="3" t="str">
        <x:v>要件</x:v>
      </x:c>
      <x:c r="B4" s="3" t="str">
        <x:v>H03</x:v>
      </x:c>
      <x:c r="C4" s="3" t="str">
        <x:v>帮信罪</x:v>
      </x:c>
      <x:c r="D4" s="3" t="str">
        <x:v>具体帮助行为</x:v>
      </x:c>
      <x:c r="E4" s="3" t="str">
        <x:v>技术网络广告支付结算账户等行为及被利用关联</x:v>
      </x:c>
    </x:row>
    <x:row r="5" ht="52" customHeight="1">
      <x:c r="A5" s="3" t="str">
        <x:v>要件</x:v>
      </x:c>
      <x:c r="B5" s="3" t="str">
        <x:v>H04</x:v>
      </x:c>
      <x:c r="C5" s="3" t="str">
        <x:v>帮信罪</x:v>
      </x:c>
      <x:c r="D5" s="3" t="str">
        <x:v>明知及形成时间</x:v>
      </x:c>
      <x:c r="E5" s="3" t="str">
        <x:v>认识对象绑定行为人、对象及提供帮助的具体期间</x:v>
      </x:c>
    </x:row>
    <x:row r="6" ht="52" customHeight="1">
      <x:c r="A6" s="3" t="str">
        <x:v>要件</x:v>
      </x:c>
      <x:c r="B6" s="3" t="str">
        <x:v>H05</x:v>
      </x:c>
      <x:c r="C6" s="3" t="str">
        <x:v>帮信罪</x:v>
      </x:c>
      <x:c r="D6" s="3" t="str">
        <x:v>情节严重</x:v>
      </x:c>
      <x:c r="E6" s="3" t="str">
        <x:v>规范版本、金额数量口径、累计去重、全部门槛条件</x:v>
      </x:c>
    </x:row>
    <x:row r="7" ht="52" customHeight="1">
      <x:c r="A7" s="3" t="str">
        <x:v>要件</x:v>
      </x:c>
      <x:c r="B7" s="3" t="str">
        <x:v>H06</x:v>
      </x:c>
      <x:c r="C7" s="3" t="str">
        <x:v>帮信罪</x:v>
      </x:c>
      <x:c r="D7" s="3" t="str">
        <x:v>排除及竞合</x:v>
      </x:c>
      <x:c r="E7" s="3" t="str">
        <x:v>相反证据、情节轻微、其他罪名、罪数及单位归责</x:v>
      </x:c>
    </x:row>
    <x:row r="8" ht="52" customHeight="1">
      <x:c r="A8" s="3" t="str">
        <x:v>要件</x:v>
      </x:c>
      <x:c r="B8" s="3" t="str">
        <x:v>C01</x:v>
      </x:c>
      <x:c r="C8" s="3" t="str">
        <x:v>掩隐罪</x:v>
      </x:c>
      <x:c r="D8" s="3" t="str">
        <x:v>主体及单位责任</x:v>
      </x:c>
      <x:c r="E8" s="3" t="str">
        <x:v>自然人及单位责任依据分别审查</x:v>
      </x:c>
    </x:row>
    <x:row r="9" ht="52" customHeight="1">
      <x:c r="A9" s="3" t="str">
        <x:v>要件</x:v>
      </x:c>
      <x:c r="B9" s="3" t="str">
        <x:v>C02</x:v>
      </x:c>
      <x:c r="C9" s="3" t="str">
        <x:v>掩隐罪</x:v>
      </x:c>
      <x:c r="D9" s="3" t="str">
        <x:v>犯罪所得及其收益对象</x:v>
      </x:c>
      <x:c r="E9" s="3" t="str">
        <x:v>上游犯罪事实、财物同一性、形成时间及去重范围</x:v>
      </x:c>
    </x:row>
    <x:row r="10" ht="52" customHeight="1">
      <x:c r="A10" s="3" t="str">
        <x:v>要件</x:v>
      </x:c>
      <x:c r="B10" s="3" t="str">
        <x:v>C03</x:v>
      </x:c>
      <x:c r="C10" s="3" t="str">
        <x:v>掩隐罪</x:v>
      </x:c>
      <x:c r="D10" s="3" t="str">
        <x:v>掩饰隐瞒行为</x:v>
      </x:c>
      <x:c r="E10" s="3" t="str">
        <x:v>窝藏转移收购代销等及行为效果，不以事后自动认定</x:v>
      </x:c>
    </x:row>
    <x:row r="11" ht="52" customHeight="1">
      <x:c r="A11" s="3" t="str">
        <x:v>要件</x:v>
      </x:c>
      <x:c r="B11" s="3" t="str">
        <x:v>C04</x:v>
      </x:c>
      <x:c r="C11" s="3" t="str">
        <x:v>掩隐罪</x:v>
      </x:c>
      <x:c r="D11" s="3" t="str">
        <x:v>明知及形成时间</x:v>
      </x:c>
      <x:c r="E11" s="3" t="str">
        <x:v>对所得收益性质的认识；不只写知道违法</x:v>
      </x:c>
    </x:row>
    <x:row r="12" ht="52" customHeight="1">
      <x:c r="A12" s="3" t="str">
        <x:v>要件</x:v>
      </x:c>
      <x:c r="B12" s="3" t="str">
        <x:v>C05</x:v>
      </x:c>
      <x:c r="C12" s="3" t="str">
        <x:v>掩隐罪</x:v>
      </x:c>
      <x:c r="D12" s="3" t="str">
        <x:v>情节及共犯竞合</x:v>
      </x:c>
      <x:c r="E12" s="3" t="str">
        <x:v>2025解释适用时间、事前通谋、情节严重及其他罪名</x:v>
      </x:c>
    </x:row>
    <x:row r="13" ht="52" customHeight="1">
      <x:c r="A13" s="3" t="str">
        <x:v>要件</x:v>
      </x:c>
      <x:c r="B13" s="3" t="str">
        <x:v>F01</x:v>
      </x:c>
      <x:c r="C13" s="3" t="str">
        <x:v>诈骗罪</x:v>
      </x:c>
      <x:c r="D13" s="3" t="str">
        <x:v>行为人及责任范围</x:v>
      </x:c>
      <x:c r="E13" s="3" t="str">
        <x:v>区分直接行为人、共同参与者；普通诈骗无一般单位犯罪条款</x:v>
      </x:c>
    </x:row>
    <x:row r="14" ht="52" customHeight="1">
      <x:c r="A14" s="3" t="str">
        <x:v>要件</x:v>
      </x:c>
      <x:c r="B14" s="3" t="str">
        <x:v>F02</x:v>
      </x:c>
      <x:c r="C14" s="3" t="str">
        <x:v>诈骗罪</x:v>
      </x:c>
      <x:c r="D14" s="3" t="str">
        <x:v>欺骗与财产处分链</x:v>
      </x:c>
      <x:c r="E14" s="3" t="str">
        <x:v>欺骗错误认识处分损失及因果关联；形态分别审查</x:v>
      </x:c>
    </x:row>
    <x:row r="15" ht="52" customHeight="1">
      <x:c r="A15" s="3" t="str">
        <x:v>要件</x:v>
      </x:c>
      <x:c r="B15" s="3" t="str">
        <x:v>F03</x:v>
      </x:c>
      <x:c r="C15" s="3" t="str">
        <x:v>诈骗罪</x:v>
      </x:c>
      <x:c r="D15" s="3" t="str">
        <x:v>非法占有目的及故意</x:v>
      </x:c>
      <x:c r="E15" s="3" t="str">
        <x:v>支持目的及认识的具体事实与反向解释</x:v>
      </x:c>
    </x:row>
    <x:row r="16" ht="52" customHeight="1">
      <x:c r="A16" s="3" t="str">
        <x:v>要件</x:v>
      </x:c>
      <x:c r="B16" s="3" t="str">
        <x:v>F04</x:v>
      </x:c>
      <x:c r="C16" s="3" t="str">
        <x:v>诈骗罪</x:v>
      </x:c>
      <x:c r="D16" s="3" t="str">
        <x:v>共同故意与分工</x:v>
      </x:c>
      <x:c r="E16" s="3" t="str">
        <x:v>共同诈骗认识、通谋配合及具体行为，岗位和佣金均非自动结论</x:v>
      </x:c>
    </x:row>
    <x:row r="17" ht="52" customHeight="1">
      <x:c r="A17" s="3" t="str">
        <x:v>要件</x:v>
      </x:c>
      <x:c r="B17" s="3" t="str">
        <x:v>F05</x:v>
      </x:c>
      <x:c r="C17" s="3" t="str">
        <x:v>诈骗罪</x:v>
      </x:c>
      <x:c r="D17" s="3" t="str">
        <x:v>数额及其他情节</x:v>
      </x:c>
      <x:c r="E17" s="3" t="str">
        <x:v>个人参与范围、行为阶段、地方标准及特殊数量规则完整前提</x:v>
      </x:c>
    </x:row>
    <x:row r="18" ht="52" customHeight="1">
      <x:c r="A18" s="3" t="str">
        <x:v>要件</x:v>
      </x:c>
      <x:c r="B18" s="3" t="str">
        <x:v>F06</x:v>
      </x:c>
      <x:c r="C18" s="3" t="str">
        <x:v>诈骗罪</x:v>
      </x:c>
      <x:c r="D18" s="3" t="str">
        <x:v>排除形态及竞合</x:v>
      </x:c>
      <x:c r="E18" s="3" t="str">
        <x:v>既未遂中止等、受胁迫事实、罪数竞合和非刑事路径</x:v>
      </x:c>
    </x:row>
    <x:row r="19" ht="52" customHeight="1">
      <x:c r="A19" s="3" t="str">
        <x:v>枚举</x:v>
      </x:c>
      <x:c r="B19" s="3" t="str">
        <x:v>usage</x:v>
      </x:c>
      <x:c r="C19" s="3" t="str"/>
      <x:c r="D19" s="3" t="str">
        <x:v>正式</x:v>
      </x:c>
      <x:c r="E19" s="3" t="str">
        <x:v>结合字段字典及指南使用，不构成独立法律结论</x:v>
      </x:c>
    </x:row>
    <x:row r="20" ht="52" customHeight="1">
      <x:c r="A20" s="3" t="str">
        <x:v>枚举</x:v>
      </x:c>
      <x:c r="B20" s="3" t="str">
        <x:v>usage</x:v>
      </x:c>
      <x:c r="C20" s="3" t="str"/>
      <x:c r="D20" s="3" t="str">
        <x:v>试标</x:v>
      </x:c>
      <x:c r="E20" s="3" t="str">
        <x:v>结合字段字典及指南使用，不构成独立法律结论</x:v>
      </x:c>
    </x:row>
    <x:row r="21" ht="52" customHeight="1">
      <x:c r="A21" s="3" t="str">
        <x:v>枚举</x:v>
      </x:c>
      <x:c r="B21" s="3" t="str">
        <x:v>mode</x:v>
      </x:c>
      <x:c r="C21" s="3" t="str"/>
      <x:c r="D21" s="3" t="str">
        <x:v>材料内评价</x:v>
      </x:c>
      <x:c r="E21" s="3" t="str">
        <x:v>结合字段字典及指南使用，不构成独立法律结论</x:v>
      </x:c>
    </x:row>
    <x:row r="22" ht="52" customHeight="1">
      <x:c r="A22" s="3" t="str">
        <x:v>枚举</x:v>
      </x:c>
      <x:c r="B22" s="3" t="str">
        <x:v>mode</x:v>
      </x:c>
      <x:c r="C22" s="3" t="str"/>
      <x:c r="D22" s="3" t="str">
        <x:v>裁判理由重建</x:v>
      </x:c>
      <x:c r="E22" s="3" t="str">
        <x:v>结合字段字典及指南使用，不构成独立法律结论</x:v>
      </x:c>
    </x:row>
    <x:row r="23" ht="52" customHeight="1">
      <x:c r="A23" s="3" t="str">
        <x:v>枚举</x:v>
      </x:c>
      <x:c r="B23" s="3" t="str">
        <x:v>stage</x:v>
      </x:c>
      <x:c r="C23" s="3" t="str"/>
      <x:c r="D23" s="3" t="str">
        <x:v>E0</x:v>
      </x:c>
      <x:c r="E23" s="3" t="str">
        <x:v>结合字段字典及指南使用，不构成独立法律结论</x:v>
      </x:c>
    </x:row>
    <x:row r="24" ht="52" customHeight="1">
      <x:c r="A24" s="3" t="str">
        <x:v>枚举</x:v>
      </x:c>
      <x:c r="B24" s="3" t="str">
        <x:v>stage</x:v>
      </x:c>
      <x:c r="C24" s="3" t="str"/>
      <x:c r="D24" s="3" t="str">
        <x:v>U1</x:v>
      </x:c>
      <x:c r="E24" s="3" t="str">
        <x:v>结合字段字典及指南使用，不构成独立法律结论</x:v>
      </x:c>
    </x:row>
    <x:row r="25" ht="52" customHeight="1">
      <x:c r="A25" s="3" t="str">
        <x:v>枚举</x:v>
      </x:c>
      <x:c r="B25" s="3" t="str">
        <x:v>stage</x:v>
      </x:c>
      <x:c r="C25" s="3" t="str"/>
      <x:c r="D25" s="3" t="str">
        <x:v>U2</x:v>
      </x:c>
      <x:c r="E25" s="3" t="str">
        <x:v>结合字段字典及指南使用，不构成独立法律结论</x:v>
      </x:c>
    </x:row>
    <x:row r="26" ht="52" customHeight="1">
      <x:c r="A26" s="3" t="str">
        <x:v>枚举</x:v>
      </x:c>
      <x:c r="B26" s="3" t="str">
        <x:v>stage</x:v>
      </x:c>
      <x:c r="C26" s="3" t="str"/>
      <x:c r="D26" s="3" t="str">
        <x:v>U3</x:v>
      </x:c>
      <x:c r="E26" s="3" t="str">
        <x:v>结合字段字典及指南使用，不构成独立法律结论</x:v>
      </x:c>
    </x:row>
    <x:row r="27" ht="52" customHeight="1">
      <x:c r="A27" s="3" t="str">
        <x:v>枚举</x:v>
      </x:c>
      <x:c r="B27" s="3" t="str">
        <x:v>stage</x:v>
      </x:c>
      <x:c r="C27" s="3" t="str"/>
      <x:c r="D27" s="3" t="str">
        <x:v>U4</x:v>
      </x:c>
      <x:c r="E27" s="3" t="str">
        <x:v>结合字段字典及指南使用，不构成独立法律结论</x:v>
      </x:c>
    </x:row>
    <x:row r="28" ht="52" customHeight="1">
      <x:c r="A28" s="3" t="str">
        <x:v>枚举</x:v>
      </x:c>
      <x:c r="B28" s="3" t="str">
        <x:v>stage</x:v>
      </x:c>
      <x:c r="C28" s="3" t="str"/>
      <x:c r="D28" s="3" t="str">
        <x:v>U5</x:v>
      </x:c>
      <x:c r="E28" s="3" t="str">
        <x:v>结合字段字典及指南使用，不构成独立法律结论</x:v>
      </x:c>
    </x:row>
    <x:row r="29" ht="52" customHeight="1">
      <x:c r="A29" s="3" t="str">
        <x:v>枚举</x:v>
      </x:c>
      <x:c r="B29" s="3" t="str">
        <x:v>stage</x:v>
      </x:c>
      <x:c r="C29" s="3" t="str"/>
      <x:c r="D29" s="3" t="str">
        <x:v>FINAL</x:v>
      </x:c>
      <x:c r="E29" s="3" t="str">
        <x:v>结合字段字典及指南使用，不构成独立法律结论</x:v>
      </x:c>
    </x:row>
    <x:row r="30" ht="52" customHeight="1">
      <x:c r="A30" s="3" t="str">
        <x:v>枚举</x:v>
      </x:c>
      <x:c r="B30" s="3" t="str">
        <x:v>status</x:v>
      </x:c>
      <x:c r="C30" s="3" t="str"/>
      <x:c r="D30" s="3" t="str">
        <x:v>未开始</x:v>
      </x:c>
      <x:c r="E30" s="3" t="str">
        <x:v>结合字段字典及指南使用，不构成独立法律结论</x:v>
      </x:c>
    </x:row>
    <x:row r="31" ht="52" customHeight="1">
      <x:c r="A31" s="3" t="str">
        <x:v>枚举</x:v>
      </x:c>
      <x:c r="B31" s="3" t="str">
        <x:v>status</x:v>
      </x:c>
      <x:c r="C31" s="3" t="str"/>
      <x:c r="D31" s="3" t="str">
        <x:v>标注中</x:v>
      </x:c>
      <x:c r="E31" s="3" t="str">
        <x:v>结合字段字典及指南使用，不构成独立法律结论</x:v>
      </x:c>
    </x:row>
    <x:row r="32" ht="52" customHeight="1">
      <x:c r="A32" s="3" t="str">
        <x:v>枚举</x:v>
      </x:c>
      <x:c r="B32" s="3" t="str">
        <x:v>status</x:v>
      </x:c>
      <x:c r="C32" s="3" t="str"/>
      <x:c r="D32" s="3" t="str">
        <x:v>已提交</x:v>
      </x:c>
      <x:c r="E32" s="3" t="str">
        <x:v>结合字段字典及指南使用，不构成独立法律结论</x:v>
      </x:c>
    </x:row>
    <x:row r="33" ht="52" customHeight="1">
      <x:c r="A33" s="3" t="str">
        <x:v>枚举</x:v>
      </x:c>
      <x:c r="B33" s="3" t="str">
        <x:v>status</x:v>
      </x:c>
      <x:c r="C33" s="3" t="str"/>
      <x:c r="D33" s="3" t="str">
        <x:v>退回修改</x:v>
      </x:c>
      <x:c r="E33" s="3" t="str">
        <x:v>结合字段字典及指南使用，不构成独立法律结论</x:v>
      </x:c>
    </x:row>
    <x:row r="34" ht="52" customHeight="1">
      <x:c r="A34" s="3" t="str">
        <x:v>枚举</x:v>
      </x:c>
      <x:c r="B34" s="3" t="str">
        <x:v>annotator_role</x:v>
      </x:c>
      <x:c r="C34" s="3" t="str"/>
      <x:c r="D34" s="3" t="str">
        <x:v>A</x:v>
      </x:c>
      <x:c r="E34" s="3" t="str">
        <x:v>结合字段字典及指南使用，不构成独立法律结论</x:v>
      </x:c>
    </x:row>
    <x:row r="35" ht="52" customHeight="1">
      <x:c r="A35" s="3" t="str">
        <x:v>枚举</x:v>
      </x:c>
      <x:c r="B35" s="3" t="str">
        <x:v>annotator_role</x:v>
      </x:c>
      <x:c r="C35" s="3" t="str"/>
      <x:c r="D35" s="3" t="str">
        <x:v>B</x:v>
      </x:c>
      <x:c r="E35" s="3" t="str">
        <x:v>结合字段字典及指南使用，不构成独立法律结论</x:v>
      </x:c>
    </x:row>
    <x:row r="36" ht="52" customHeight="1">
      <x:c r="A36" s="3" t="str">
        <x:v>枚举</x:v>
      </x:c>
      <x:c r="B36" s="3" t="str">
        <x:v>annotator_role</x:v>
      </x:c>
      <x:c r="C36" s="3" t="str"/>
      <x:c r="D36" s="3" t="str">
        <x:v>C</x:v>
      </x:c>
      <x:c r="E36" s="3" t="str">
        <x:v>结合字段字典及指南使用，不构成独立法律结论</x:v>
      </x:c>
    </x:row>
    <x:row r="37" ht="52" customHeight="1">
      <x:c r="A37" s="3" t="str">
        <x:v>枚举</x:v>
      </x:c>
      <x:c r="B37" s="3" t="str">
        <x:v>fact</x:v>
      </x:c>
      <x:c r="C37" s="3" t="str"/>
      <x:c r="D37" s="3" t="str">
        <x:v>材料支持</x:v>
      </x:c>
      <x:c r="E37" s="3" t="str">
        <x:v>可见材料对目标有支持；不是达到法律证明标准的同义词</x:v>
      </x:c>
    </x:row>
    <x:row r="38" ht="52" customHeight="1">
      <x:c r="A38" s="3" t="str">
        <x:v>枚举</x:v>
      </x:c>
      <x:c r="B38" s="3" t="str">
        <x:v>fact</x:v>
      </x:c>
      <x:c r="C38" s="3" t="str"/>
      <x:c r="D38" s="3" t="str">
        <x:v>材料反对</x:v>
      </x:c>
      <x:c r="E38" s="3" t="str">
        <x:v>可见材料支持与目标相反的命题；不等于完成无罪证明</x:v>
      </x:c>
    </x:row>
    <x:row r="39" ht="52" customHeight="1">
      <x:c r="A39" s="3" t="str">
        <x:v>枚举</x:v>
      </x:c>
      <x:c r="B39" s="3" t="str">
        <x:v>fact</x:v>
      </x:c>
      <x:c r="C39" s="3" t="str"/>
      <x:c r="D39" s="3" t="str">
        <x:v>存在冲突</x:v>
      </x:c>
      <x:c r="E39" s="3" t="str">
        <x:v>相关材料相互矛盾；保留双方来源和争点</x:v>
      </x:c>
    </x:row>
    <x:row r="40" ht="52" customHeight="1">
      <x:c r="A40" s="3" t="str">
        <x:v>枚举</x:v>
      </x:c>
      <x:c r="B40" s="3" t="str">
        <x:v>fact</x:v>
      </x:c>
      <x:c r="C40" s="3" t="str"/>
      <x:c r="D40" s="3" t="str">
        <x:v>信息不足</x:v>
      </x:c>
      <x:c r="E40" s="3" t="str">
        <x:v>缺少决定性材料或无法形成判断；不同于目标已被否定</x:v>
      </x:c>
    </x:row>
    <x:row r="41" ht="52" customHeight="1">
      <x:c r="A41" s="3" t="str">
        <x:v>枚举</x:v>
      </x:c>
      <x:c r="B41" s="3" t="str">
        <x:v>fact</x:v>
      </x:c>
      <x:c r="C41" s="3" t="str"/>
      <x:c r="D41" s="3" t="str">
        <x:v>不适用</x:v>
      </x:c>
      <x:c r="E41" s="3" t="str">
        <x:v>该字段或问题与此具体对象无关；必须在理由中说明</x:v>
      </x:c>
    </x:row>
    <x:row r="42" ht="52" customHeight="1">
      <x:c r="A42" s="3" t="str">
        <x:v>枚举</x:v>
      </x:c>
      <x:c r="B42" s="3" t="str">
        <x:v>level</x:v>
      </x:c>
      <x:c r="C42" s="3" t="str"/>
      <x:c r="D42" s="3" t="str">
        <x:v>原文记载</x:v>
      </x:c>
      <x:c r="E42" s="3" t="str">
        <x:v>结合字段字典及指南使用，不构成独立法律结论</x:v>
      </x:c>
    </x:row>
    <x:row r="43" ht="52" customHeight="1">
      <x:c r="A43" s="3" t="str">
        <x:v>枚举</x:v>
      </x:c>
      <x:c r="B43" s="3" t="str">
        <x:v>level</x:v>
      </x:c>
      <x:c r="C43" s="3" t="str"/>
      <x:c r="D43" s="3" t="str">
        <x:v>法院认定</x:v>
      </x:c>
      <x:c r="E43" s="3" t="str">
        <x:v>结合字段字典及指南使用，不构成独立法律结论</x:v>
      </x:c>
    </x:row>
    <x:row r="44" ht="52" customHeight="1">
      <x:c r="A44" s="3" t="str">
        <x:v>枚举</x:v>
      </x:c>
      <x:c r="B44" s="3" t="str">
        <x:v>level</x:v>
      </x:c>
      <x:c r="C44" s="3" t="str"/>
      <x:c r="D44" s="3" t="str">
        <x:v>标注者评价</x:v>
      </x:c>
      <x:c r="E44" s="3" t="str">
        <x:v>结合字段字典及指南使用，不构成独立法律结论</x:v>
      </x:c>
    </x:row>
    <x:row r="45" ht="52" customHeight="1">
      <x:c r="A45" s="3" t="str">
        <x:v>枚举</x:v>
      </x:c>
      <x:c r="B45" s="3" t="str">
        <x:v>crime</x:v>
      </x:c>
      <x:c r="C45" s="3" t="str"/>
      <x:c r="D45" s="3" t="str">
        <x:v>帮信罪</x:v>
      </x:c>
      <x:c r="E45" s="3" t="str">
        <x:v>结合字段字典及指南使用，不构成独立法律结论</x:v>
      </x:c>
    </x:row>
    <x:row r="46" ht="52" customHeight="1">
      <x:c r="A46" s="3" t="str">
        <x:v>枚举</x:v>
      </x:c>
      <x:c r="B46" s="3" t="str">
        <x:v>crime</x:v>
      </x:c>
      <x:c r="C46" s="3" t="str"/>
      <x:c r="D46" s="3" t="str">
        <x:v>掩隐罪</x:v>
      </x:c>
      <x:c r="E46" s="3" t="str">
        <x:v>结合字段字典及指南使用，不构成独立法律结论</x:v>
      </x:c>
    </x:row>
    <x:row r="47" ht="52" customHeight="1">
      <x:c r="A47" s="3" t="str">
        <x:v>枚举</x:v>
      </x:c>
      <x:c r="B47" s="3" t="str">
        <x:v>crime</x:v>
      </x:c>
      <x:c r="C47" s="3" t="str"/>
      <x:c r="D47" s="3" t="str">
        <x:v>诈骗罪</x:v>
      </x:c>
      <x:c r="E47" s="3" t="str">
        <x:v>结合字段字典及指南使用，不构成独立法律结论</x:v>
      </x:c>
    </x:row>
    <x:row r="48" ht="52" customHeight="1">
      <x:c r="A48" s="3" t="str">
        <x:v>枚举</x:v>
      </x:c>
      <x:c r="B48" s="3" t="str">
        <x:v>crime</x:v>
      </x:c>
      <x:c r="C48" s="3" t="str"/>
      <x:c r="D48" s="3" t="str">
        <x:v>其他罪名</x:v>
      </x:c>
      <x:c r="E48" s="3" t="str">
        <x:v>结合字段字典及指南使用，不构成独立法律结论</x:v>
      </x:c>
    </x:row>
    <x:row r="49" ht="52" customHeight="1">
      <x:c r="A49" s="3" t="str">
        <x:v>枚举</x:v>
      </x:c>
      <x:c r="B49" s="3" t="str">
        <x:v>crime</x:v>
      </x:c>
      <x:c r="C49" s="3" t="str"/>
      <x:c r="D49" s="3" t="str">
        <x:v>非刑事路径</x:v>
      </x:c>
      <x:c r="E49" s="3" t="str">
        <x:v>结合字段字典及指南使用，不构成独立法律结论</x:v>
      </x:c>
    </x:row>
    <x:row r="50" ht="52" customHeight="1">
      <x:c r="A50" s="3" t="str">
        <x:v>枚举</x:v>
      </x:c>
      <x:c r="B50" s="3" t="str">
        <x:v>crime</x:v>
      </x:c>
      <x:c r="C50" s="3" t="str"/>
      <x:c r="D50" s="3" t="str">
        <x:v>尚不能判断</x:v>
      </x:c>
      <x:c r="E50" s="3" t="str">
        <x:v>结合字段字典及指南使用，不构成独立法律结论</x:v>
      </x:c>
    </x:row>
    <x:row r="51" ht="52" customHeight="1">
      <x:c r="A51" s="3" t="str">
        <x:v>枚举</x:v>
      </x:c>
      <x:c r="B51" s="3" t="str">
        <x:v>knowledge</x:v>
      </x:c>
      <x:c r="C51" s="3" t="str"/>
      <x:c r="D51" s="3" t="str">
        <x:v>他人利用信息网络实施犯罪</x:v>
      </x:c>
      <x:c r="E51" s="3" t="str">
        <x:v>结合字段字典及指南使用，不构成独立法律结论</x:v>
      </x:c>
    </x:row>
    <x:row r="52" ht="52" customHeight="1">
      <x:c r="A52" s="3" t="str">
        <x:v>枚举</x:v>
      </x:c>
      <x:c r="B52" s="3" t="str">
        <x:v>knowledge</x:v>
      </x:c>
      <x:c r="C52" s="3" t="str"/>
      <x:c r="D52" s="3" t="str">
        <x:v>犯罪所得及其收益</x:v>
      </x:c>
      <x:c r="E52" s="3" t="str">
        <x:v>结合字段字典及指南使用，不构成独立法律结论</x:v>
      </x:c>
    </x:row>
    <x:row r="53" ht="52" customHeight="1">
      <x:c r="A53" s="3" t="str">
        <x:v>枚举</x:v>
      </x:c>
      <x:c r="B53" s="3" t="str">
        <x:v>knowledge</x:v>
      </x:c>
      <x:c r="C53" s="3" t="str"/>
      <x:c r="D53" s="3" t="str">
        <x:v>诈骗及共同分工</x:v>
      </x:c>
      <x:c r="E53" s="3" t="str">
        <x:v>结合字段字典及指南使用，不构成独立法律结论</x:v>
      </x:c>
    </x:row>
    <x:row r="54" ht="52" customHeight="1">
      <x:c r="A54" s="3" t="str">
        <x:v>枚举</x:v>
      </x:c>
      <x:c r="B54" s="3" t="str">
        <x:v>knowledge</x:v>
      </x:c>
      <x:c r="C54" s="3" t="str"/>
      <x:c r="D54" s="3" t="str">
        <x:v>其他要件</x:v>
      </x:c>
      <x:c r="E54" s="3" t="str">
        <x:v>结合字段字典及指南使用，不构成独立法律结论</x:v>
      </x:c>
    </x:row>
    <x:row r="55" ht="52" customHeight="1">
      <x:c r="A55" s="3" t="str">
        <x:v>枚举</x:v>
      </x:c>
      <x:c r="B55" s="3" t="str">
        <x:v>verify</x:v>
      </x:c>
      <x:c r="C55" s="3" t="str"/>
      <x:c r="D55" s="3" t="str">
        <x:v>未核验</x:v>
      </x:c>
      <x:c r="E55" s="3" t="str">
        <x:v>结合字段字典及指南使用，不构成独立法律结论</x:v>
      </x:c>
    </x:row>
    <x:row r="56" ht="52" customHeight="1">
      <x:c r="A56" s="3" t="str">
        <x:v>枚举</x:v>
      </x:c>
      <x:c r="B56" s="3" t="str">
        <x:v>verify</x:v>
      </x:c>
      <x:c r="C56" s="3" t="str"/>
      <x:c r="D56" s="3" t="str">
        <x:v>已对照原文</x:v>
      </x:c>
      <x:c r="E56" s="3" t="str">
        <x:v>结合字段字典及指南使用，不构成独立法律结论</x:v>
      </x:c>
    </x:row>
    <x:row r="57" ht="52" customHeight="1">
      <x:c r="A57" s="3" t="str">
        <x:v>枚举</x:v>
      </x:c>
      <x:c r="B57" s="3" t="str">
        <x:v>verify</x:v>
      </x:c>
      <x:c r="C57" s="3" t="str"/>
      <x:c r="D57" s="3" t="str">
        <x:v>存在争议</x:v>
      </x:c>
      <x:c r="E57" s="3" t="str">
        <x:v>结合字段字典及指南使用，不构成独立法律结论</x:v>
      </x:c>
    </x:row>
    <x:row r="58" ht="52" customHeight="1">
      <x:c r="A58" s="3" t="str">
        <x:v>枚举</x:v>
      </x:c>
      <x:c r="B58" s="3" t="str">
        <x:v>verify</x:v>
      </x:c>
      <x:c r="C58" s="3" t="str"/>
      <x:c r="D58" s="3" t="str">
        <x:v>无法核验</x:v>
      </x:c>
      <x:c r="E58" s="3" t="str">
        <x:v>结合字段字典及指南使用，不构成独立法律结论</x:v>
      </x:c>
    </x:row>
    <x:row r="59" ht="52" customHeight="1">
      <x:c r="A59" s="3" t="str">
        <x:v>枚举</x:v>
      </x:c>
      <x:c r="B59" s="3" t="str">
        <x:v>kind</x:v>
      </x:c>
      <x:c r="C59" s="3" t="str"/>
      <x:c r="D59" s="3" t="str">
        <x:v>裁判文书派生</x:v>
      </x:c>
      <x:c r="E59" s="3" t="str">
        <x:v>结合字段字典及指南使用，不构成独立法律结论</x:v>
      </x:c>
    </x:row>
    <x:row r="60" ht="52" customHeight="1">
      <x:c r="A60" s="3" t="str">
        <x:v>枚举</x:v>
      </x:c>
      <x:c r="B60" s="3" t="str">
        <x:v>kind</x:v>
      </x:c>
      <x:c r="C60" s="3" t="str"/>
      <x:c r="D60" s="3" t="str">
        <x:v>专家审核编辑</x:v>
      </x:c>
      <x:c r="E60" s="3" t="str">
        <x:v>结合字段字典及指南使用，不构成独立法律结论</x:v>
      </x:c>
    </x:row>
    <x:row r="61" ht="52" customHeight="1">
      <x:c r="A61" s="3" t="str">
        <x:v>枚举</x:v>
      </x:c>
      <x:c r="B61" s="3" t="str">
        <x:v>kind</x:v>
      </x:c>
      <x:c r="C61" s="3" t="str"/>
      <x:c r="D61" s="3" t="str">
        <x:v>有过程凭据的阶段材料</x:v>
      </x:c>
      <x:c r="E61" s="3" t="str">
        <x:v>结合字段字典及指南使用，不构成独立法律结论</x:v>
      </x:c>
    </x:row>
    <x:row r="62" ht="52" customHeight="1">
      <x:c r="A62" s="3" t="str">
        <x:v>枚举</x:v>
      </x:c>
      <x:c r="B62" s="3" t="str">
        <x:v>rights</x:v>
      </x:c>
      <x:c r="C62" s="3" t="str"/>
      <x:c r="D62" s="3" t="str">
        <x:v>待核</x:v>
      </x:c>
      <x:c r="E62" s="3" t="str">
        <x:v>结合字段字典及指南使用，不构成独立法律结论</x:v>
      </x:c>
    </x:row>
    <x:row r="63" ht="52" customHeight="1">
      <x:c r="A63" s="3" t="str">
        <x:v>枚举</x:v>
      </x:c>
      <x:c r="B63" s="3" t="str">
        <x:v>rights</x:v>
      </x:c>
      <x:c r="C63" s="3" t="str"/>
      <x:c r="D63" s="3" t="str">
        <x:v>允许内部研究</x:v>
      </x:c>
      <x:c r="E63" s="3" t="str">
        <x:v>结合字段字典及指南使用，不构成独立法律结论</x:v>
      </x:c>
    </x:row>
    <x:row r="64" ht="52" customHeight="1">
      <x:c r="A64" s="3" t="str">
        <x:v>枚举</x:v>
      </x:c>
      <x:c r="B64" s="3" t="str">
        <x:v>rights</x:v>
      </x:c>
      <x:c r="C64" s="3" t="str"/>
      <x:c r="D64" s="3" t="str">
        <x:v>允许公开</x:v>
      </x:c>
      <x:c r="E64" s="3" t="str">
        <x:v>结合字段字典及指南使用，不构成独立法律结论</x:v>
      </x:c>
    </x:row>
    <x:row r="65" ht="52" customHeight="1">
      <x:c r="A65" s="3" t="str">
        <x:v>枚举</x:v>
      </x:c>
      <x:c r="B65" s="3" t="str">
        <x:v>rights</x:v>
      </x:c>
      <x:c r="C65" s="3" t="str"/>
      <x:c r="D65" s="3" t="str">
        <x:v>不允许使用</x:v>
      </x:c>
      <x:c r="E65" s="3" t="str">
        <x:v>结合字段字典及指南使用，不构成独立法律结论</x:v>
      </x:c>
    </x:row>
    <x:row r="66" ht="52" customHeight="1">
      <x:c r="A66" s="3" t="str">
        <x:v>枚举</x:v>
      </x:c>
      <x:c r="B66" s="3" t="str">
        <x:v>split</x:v>
      </x:c>
      <x:c r="C66" s="3" t="str"/>
      <x:c r="D66" s="3" t="str">
        <x:v>未分配</x:v>
      </x:c>
      <x:c r="E66" s="3" t="str">
        <x:v>结合字段字典及指南使用，不构成独立法律结论</x:v>
      </x:c>
    </x:row>
    <x:row r="67" ht="52" customHeight="1">
      <x:c r="A67" s="3" t="str">
        <x:v>枚举</x:v>
      </x:c>
      <x:c r="B67" s="3" t="str">
        <x:v>split</x:v>
      </x:c>
      <x:c r="C67" s="3" t="str"/>
      <x:c r="D67" s="3" t="str">
        <x:v>开发</x:v>
      </x:c>
      <x:c r="E67" s="3" t="str">
        <x:v>结合字段字典及指南使用，不构成独立法律结论</x:v>
      </x:c>
    </x:row>
    <x:row r="68" ht="52" customHeight="1">
      <x:c r="A68" s="3" t="str">
        <x:v>枚举</x:v>
      </x:c>
      <x:c r="B68" s="3" t="str">
        <x:v>split</x:v>
      </x:c>
      <x:c r="C68" s="3" t="str"/>
      <x:c r="D68" s="3" t="str">
        <x:v>测试</x:v>
      </x:c>
      <x:c r="E68" s="3" t="str">
        <x:v>结合字段字典及指南使用，不构成独立法律结论</x:v>
      </x:c>
    </x:row>
    <x:row r="69" ht="52" customHeight="1">
      <x:c r="A69" s="3" t="str">
        <x:v>枚举</x:v>
      </x:c>
      <x:c r="B69" s="3" t="str">
        <x:v>split</x:v>
      </x:c>
      <x:c r="C69" s="3" t="str"/>
      <x:c r="D69" s="3" t="str">
        <x:v>隔离不用</x:v>
      </x:c>
      <x:c r="E69" s="3" t="str">
        <x:v>结合字段字典及指南使用，不构成独立法律结论</x:v>
      </x:c>
    </x:row>
    <x:row r="70" ht="52" customHeight="1">
      <x:c r="A70" s="3" t="str">
        <x:v>枚举</x:v>
      </x:c>
      <x:c r="B70" s="3" t="str">
        <x:v>entity</x:v>
      </x:c>
      <x:c r="C70" s="3" t="str"/>
      <x:c r="D70" s="3" t="str">
        <x:v>自然人</x:v>
      </x:c>
      <x:c r="E70" s="3" t="str">
        <x:v>结合字段字典及指南使用，不构成独立法律结论</x:v>
      </x:c>
    </x:row>
    <x:row r="71" ht="52" customHeight="1">
      <x:c r="A71" s="3" t="str">
        <x:v>枚举</x:v>
      </x:c>
      <x:c r="B71" s="3" t="str">
        <x:v>entity</x:v>
      </x:c>
      <x:c r="C71" s="3" t="str"/>
      <x:c r="D71" s="3" t="str">
        <x:v>单位</x:v>
      </x:c>
      <x:c r="E71" s="3" t="str">
        <x:v>结合字段字典及指南使用，不构成独立法律结论</x:v>
      </x:c>
    </x:row>
    <x:row r="72" ht="52" customHeight="1">
      <x:c r="A72" s="3" t="str">
        <x:v>枚举</x:v>
      </x:c>
      <x:c r="B72" s="3" t="str">
        <x:v>entity</x:v>
      </x:c>
      <x:c r="C72" s="3" t="str"/>
      <x:c r="D72" s="3" t="str">
        <x:v>组织</x:v>
      </x:c>
      <x:c r="E72" s="3" t="str">
        <x:v>结合字段字典及指南使用，不构成独立法律结论</x:v>
      </x:c>
    </x:row>
    <x:row r="73" ht="52" customHeight="1">
      <x:c r="A73" s="3" t="str">
        <x:v>枚举</x:v>
      </x:c>
      <x:c r="B73" s="3" t="str">
        <x:v>entity</x:v>
      </x:c>
      <x:c r="C73" s="3" t="str"/>
      <x:c r="D73" s="3" t="str">
        <x:v>银行账户</x:v>
      </x:c>
      <x:c r="E73" s="3" t="str">
        <x:v>结合字段字典及指南使用，不构成独立法律结论</x:v>
      </x:c>
    </x:row>
    <x:row r="74" ht="52" customHeight="1">
      <x:c r="A74" s="3" t="str">
        <x:v>枚举</x:v>
      </x:c>
      <x:c r="B74" s="3" t="str">
        <x:v>entity</x:v>
      </x:c>
      <x:c r="C74" s="3" t="str"/>
      <x:c r="D74" s="3" t="str">
        <x:v>支付账户</x:v>
      </x:c>
      <x:c r="E74" s="3" t="str">
        <x:v>结合字段字典及指南使用，不构成独立法律结论</x:v>
      </x:c>
    </x:row>
    <x:row r="75" ht="52" customHeight="1">
      <x:c r="A75" s="3" t="str">
        <x:v>枚举</x:v>
      </x:c>
      <x:c r="B75" s="3" t="str">
        <x:v>entity</x:v>
      </x:c>
      <x:c r="C75" s="3" t="str"/>
      <x:c r="D75" s="3" t="str">
        <x:v>通信账号</x:v>
      </x:c>
      <x:c r="E75" s="3" t="str">
        <x:v>结合字段字典及指南使用，不构成独立法律结论</x:v>
      </x:c>
    </x:row>
    <x:row r="76" ht="52" customHeight="1">
      <x:c r="A76" s="3" t="str">
        <x:v>枚举</x:v>
      </x:c>
      <x:c r="B76" s="3" t="str">
        <x:v>entity</x:v>
      </x:c>
      <x:c r="C76" s="3" t="str"/>
      <x:c r="D76" s="3" t="str">
        <x:v>设备</x:v>
      </x:c>
      <x:c r="E76" s="3" t="str">
        <x:v>结合字段字典及指南使用，不构成独立法律结论</x:v>
      </x:c>
    </x:row>
    <x:row r="77" ht="52" customHeight="1">
      <x:c r="A77" s="3" t="str">
        <x:v>枚举</x:v>
      </x:c>
      <x:c r="B77" s="3" t="str">
        <x:v>entity</x:v>
      </x:c>
      <x:c r="C77" s="3" t="str"/>
      <x:c r="D77" s="3" t="str">
        <x:v>资金批次</x:v>
      </x:c>
      <x:c r="E77" s="3" t="str">
        <x:v>结合字段字典及指南使用，不构成独立法律结论</x:v>
      </x:c>
    </x:row>
    <x:row r="78" ht="52" customHeight="1">
      <x:c r="A78" s="3" t="str">
        <x:v>枚举</x:v>
      </x:c>
      <x:c r="B78" s="3" t="str">
        <x:v>entity</x:v>
      </x:c>
      <x:c r="C78" s="3" t="str"/>
      <x:c r="D78" s="3" t="str">
        <x:v>地点</x:v>
      </x:c>
      <x:c r="E78" s="3" t="str">
        <x:v>结合字段字典及指南使用，不构成独立法律结论</x:v>
      </x:c>
    </x:row>
    <x:row r="79" ht="52" customHeight="1">
      <x:c r="A79" s="3" t="str">
        <x:v>枚举</x:v>
      </x:c>
      <x:c r="B79" s="3" t="str">
        <x:v>entity</x:v>
      </x:c>
      <x:c r="C79" s="3" t="str"/>
      <x:c r="D79" s="3" t="str">
        <x:v>其他</x:v>
      </x:c>
      <x:c r="E79" s="3" t="str">
        <x:v>结合字段字典及指南使用，不构成独立法律结论</x:v>
      </x:c>
    </x:row>
    <x:row r="80" ht="52" customHeight="1">
      <x:c r="A80" s="3" t="str">
        <x:v>枚举</x:v>
      </x:c>
      <x:c r="B80" s="3" t="str">
        <x:v>event</x:v>
      </x:c>
      <x:c r="C80" s="3" t="str"/>
      <x:c r="D80" s="3" t="str">
        <x:v>账户提供</x:v>
      </x:c>
      <x:c r="E80" s="3" t="str">
        <x:v>结合字段字典及指南使用，不构成独立法律结论</x:v>
      </x:c>
    </x:row>
    <x:row r="81" ht="52" customHeight="1">
      <x:c r="A81" s="3" t="str">
        <x:v>枚举</x:v>
      </x:c>
      <x:c r="B81" s="3" t="str">
        <x:v>event</x:v>
      </x:c>
      <x:c r="C81" s="3" t="str"/>
      <x:c r="D81" s="3" t="str">
        <x:v>技术支持</x:v>
      </x:c>
      <x:c r="E81" s="3" t="str">
        <x:v>结合字段字典及指南使用，不构成独立法律结论</x:v>
      </x:c>
    </x:row>
    <x:row r="82" ht="52" customHeight="1">
      <x:c r="A82" s="3" t="str">
        <x:v>枚举</x:v>
      </x:c>
      <x:c r="B82" s="3" t="str">
        <x:v>event</x:v>
      </x:c>
      <x:c r="C82" s="3" t="str"/>
      <x:c r="D82" s="3" t="str">
        <x:v>广告引流</x:v>
      </x:c>
      <x:c r="E82" s="3" t="str">
        <x:v>结合字段字典及指南使用，不构成独立法律结论</x:v>
      </x:c>
    </x:row>
    <x:row r="83" ht="52" customHeight="1">
      <x:c r="A83" s="3" t="str">
        <x:v>枚举</x:v>
      </x:c>
      <x:c r="B83" s="3" t="str">
        <x:v>event</x:v>
      </x:c>
      <x:c r="C83" s="3" t="str"/>
      <x:c r="D83" s="3" t="str">
        <x:v>诈骗沟通</x:v>
      </x:c>
      <x:c r="E83" s="3" t="str">
        <x:v>结合字段字典及指南使用，不构成独立法律结论</x:v>
      </x:c>
    </x:row>
    <x:row r="84" ht="52" customHeight="1">
      <x:c r="A84" s="3" t="str">
        <x:v>枚举</x:v>
      </x:c>
      <x:c r="B84" s="3" t="str">
        <x:v>event</x:v>
      </x:c>
      <x:c r="C84" s="3" t="str"/>
      <x:c r="D84" s="3" t="str">
        <x:v>指令传递</x:v>
      </x:c>
      <x:c r="E84" s="3" t="str">
        <x:v>结合字段字典及指南使用，不构成独立法律结论</x:v>
      </x:c>
    </x:row>
    <x:row r="85" ht="52" customHeight="1">
      <x:c r="A85" s="3" t="str">
        <x:v>枚举</x:v>
      </x:c>
      <x:c r="B85" s="3" t="str">
        <x:v>event</x:v>
      </x:c>
      <x:c r="C85" s="3" t="str"/>
      <x:c r="D85" s="3" t="str">
        <x:v>被害人处分财产</x:v>
      </x:c>
      <x:c r="E85" s="3" t="str">
        <x:v>结合字段字典及指南使用，不构成独立法律结论</x:v>
      </x:c>
    </x:row>
    <x:row r="86" ht="52" customHeight="1">
      <x:c r="A86" s="3" t="str">
        <x:v>枚举</x:v>
      </x:c>
      <x:c r="B86" s="3" t="str">
        <x:v>event</x:v>
      </x:c>
      <x:c r="C86" s="3" t="str"/>
      <x:c r="D86" s="3" t="str">
        <x:v>资金入账</x:v>
      </x:c>
      <x:c r="E86" s="3" t="str">
        <x:v>结合字段字典及指南使用，不构成独立法律结论</x:v>
      </x:c>
    </x:row>
    <x:row r="87" ht="52" customHeight="1">
      <x:c r="A87" s="3" t="str">
        <x:v>枚举</x:v>
      </x:c>
      <x:c r="B87" s="3" t="str">
        <x:v>event</x:v>
      </x:c>
      <x:c r="C87" s="3" t="str"/>
      <x:c r="D87" s="3" t="str">
        <x:v>资金中转</x:v>
      </x:c>
      <x:c r="E87" s="3" t="str">
        <x:v>结合字段字典及指南使用，不构成独立法律结论</x:v>
      </x:c>
    </x:row>
    <x:row r="88" ht="52" customHeight="1">
      <x:c r="A88" s="3" t="str">
        <x:v>枚举</x:v>
      </x:c>
      <x:c r="B88" s="3" t="str">
        <x:v>event</x:v>
      </x:c>
      <x:c r="C88" s="3" t="str"/>
      <x:c r="D88" s="3" t="str">
        <x:v>提现</x:v>
      </x:c>
      <x:c r="E88" s="3" t="str">
        <x:v>结合字段字典及指南使用，不构成独立法律结论</x:v>
      </x:c>
    </x:row>
    <x:row r="89" ht="52" customHeight="1">
      <x:c r="A89" s="3" t="str">
        <x:v>枚举</x:v>
      </x:c>
      <x:c r="B89" s="3" t="str">
        <x:v>event</x:v>
      </x:c>
      <x:c r="C89" s="3" t="str"/>
      <x:c r="D89" s="3" t="str">
        <x:v>换汇</x:v>
      </x:c>
      <x:c r="E89" s="3" t="str">
        <x:v>结合字段字典及指南使用，不构成独立法律结论</x:v>
      </x:c>
    </x:row>
    <x:row r="90" ht="52" customHeight="1">
      <x:c r="A90" s="3" t="str">
        <x:v>枚举</x:v>
      </x:c>
      <x:c r="B90" s="3" t="str">
        <x:v>event</x:v>
      </x:c>
      <x:c r="C90" s="3" t="str"/>
      <x:c r="D90" s="3" t="str">
        <x:v>虚拟资产转换</x:v>
      </x:c>
      <x:c r="E90" s="3" t="str">
        <x:v>结合字段字典及指南使用，不构成独立法律结论</x:v>
      </x:c>
    </x:row>
    <x:row r="91" ht="52" customHeight="1">
      <x:c r="A91" s="3" t="str">
        <x:v>枚举</x:v>
      </x:c>
      <x:c r="B91" s="3" t="str">
        <x:v>event</x:v>
      </x:c>
      <x:c r="C91" s="3" t="str"/>
      <x:c r="D91" s="3" t="str">
        <x:v>跨境转移</x:v>
      </x:c>
      <x:c r="E91" s="3" t="str">
        <x:v>结合字段字典及指南使用，不构成独立法律结论</x:v>
      </x:c>
    </x:row>
    <x:row r="92" ht="52" customHeight="1">
      <x:c r="A92" s="3" t="str">
        <x:v>枚举</x:v>
      </x:c>
      <x:c r="B92" s="3" t="str">
        <x:v>event</x:v>
      </x:c>
      <x:c r="C92" s="3" t="str"/>
      <x:c r="D92" s="3" t="str">
        <x:v>风险预警</x:v>
      </x:c>
      <x:c r="E92" s="3" t="str">
        <x:v>结合字段字典及指南使用，不构成独立法律结论</x:v>
      </x:c>
    </x:row>
    <x:row r="93" ht="52" customHeight="1">
      <x:c r="A93" s="3" t="str">
        <x:v>枚举</x:v>
      </x:c>
      <x:c r="B93" s="3" t="str">
        <x:v>event</x:v>
      </x:c>
      <x:c r="C93" s="3" t="str"/>
      <x:c r="D93" s="3" t="str">
        <x:v>告知接收</x:v>
      </x:c>
      <x:c r="E93" s="3" t="str">
        <x:v>结合字段字典及指南使用，不构成独立法律结论</x:v>
      </x:c>
    </x:row>
    <x:row r="94" ht="52" customHeight="1">
      <x:c r="A94" s="3" t="str">
        <x:v>枚举</x:v>
      </x:c>
      <x:c r="B94" s="3" t="str">
        <x:v>event</x:v>
      </x:c>
      <x:c r="C94" s="3" t="str"/>
      <x:c r="D94" s="3" t="str">
        <x:v>整改停止</x:v>
      </x:c>
      <x:c r="E94" s="3" t="str">
        <x:v>结合字段字典及指南使用，不构成独立法律结论</x:v>
      </x:c>
    </x:row>
    <x:row r="95" ht="52" customHeight="1">
      <x:c r="A95" s="3" t="str">
        <x:v>枚举</x:v>
      </x:c>
      <x:c r="B95" s="3" t="str">
        <x:v>event</x:v>
      </x:c>
      <x:c r="C95" s="3" t="str"/>
      <x:c r="D95" s="3" t="str">
        <x:v>其他</x:v>
      </x:c>
      <x:c r="E95" s="3" t="str">
        <x:v>结合字段字典及指南使用，不构成独立法律结论</x:v>
      </x:c>
    </x:row>
    <x:row r="96" ht="52" customHeight="1">
      <x:c r="A96" s="3" t="str">
        <x:v>枚举</x:v>
      </x:c>
      <x:c r="B96" s="3" t="str">
        <x:v>role</x:v>
      </x:c>
      <x:c r="C96" s="3" t="str"/>
      <x:c r="D96" s="3" t="str">
        <x:v>实施</x:v>
      </x:c>
      <x:c r="E96" s="3" t="str">
        <x:v>结合字段字典及指南使用，不构成独立法律结论</x:v>
      </x:c>
    </x:row>
    <x:row r="97" ht="52" customHeight="1">
      <x:c r="A97" s="3" t="str">
        <x:v>枚举</x:v>
      </x:c>
      <x:c r="B97" s="3" t="str">
        <x:v>role</x:v>
      </x:c>
      <x:c r="C97" s="3" t="str"/>
      <x:c r="D97" s="3" t="str">
        <x:v>指令</x:v>
      </x:c>
      <x:c r="E97" s="3" t="str">
        <x:v>结合字段字典及指南使用，不构成独立法律结论</x:v>
      </x:c>
    </x:row>
    <x:row r="98" ht="52" customHeight="1">
      <x:c r="A98" s="3" t="str">
        <x:v>枚举</x:v>
      </x:c>
      <x:c r="B98" s="3" t="str">
        <x:v>role</x:v>
      </x:c>
      <x:c r="C98" s="3" t="str"/>
      <x:c r="D98" s="3" t="str">
        <x:v>协助</x:v>
      </x:c>
      <x:c r="E98" s="3" t="str">
        <x:v>结合字段字典及指南使用，不构成独立法律结论</x:v>
      </x:c>
    </x:row>
    <x:row r="99" ht="52" customHeight="1">
      <x:c r="A99" s="3" t="str">
        <x:v>枚举</x:v>
      </x:c>
      <x:c r="B99" s="3" t="str">
        <x:v>role</x:v>
      </x:c>
      <x:c r="C99" s="3" t="str"/>
      <x:c r="D99" s="3" t="str">
        <x:v>接收</x:v>
      </x:c>
      <x:c r="E99" s="3" t="str">
        <x:v>结合字段字典及指南使用，不构成独立法律结论</x:v>
      </x:c>
    </x:row>
    <x:row r="100" ht="52" customHeight="1">
      <x:c r="A100" s="3" t="str">
        <x:v>枚举</x:v>
      </x:c>
      <x:c r="B100" s="3" t="str">
        <x:v>role</x:v>
      </x:c>
      <x:c r="C100" s="3" t="str"/>
      <x:c r="D100" s="3" t="str">
        <x:v>持有</x:v>
      </x:c>
      <x:c r="E100" s="3" t="str">
        <x:v>结合字段字典及指南使用，不构成独立法律结论</x:v>
      </x:c>
    </x:row>
    <x:row r="101" ht="52" customHeight="1">
      <x:c r="A101" s="3" t="str">
        <x:v>枚举</x:v>
      </x:c>
      <x:c r="B101" s="3" t="str">
        <x:v>role</x:v>
      </x:c>
      <x:c r="C101" s="3" t="str"/>
      <x:c r="D101" s="3" t="str">
        <x:v>实际控制</x:v>
      </x:c>
      <x:c r="E101" s="3" t="str">
        <x:v>结合字段字典及指南使用，不构成独立法律结论</x:v>
      </x:c>
    </x:row>
    <x:row r="102" ht="52" customHeight="1">
      <x:c r="A102" s="3" t="str">
        <x:v>枚举</x:v>
      </x:c>
      <x:c r="B102" s="3" t="str">
        <x:v>role</x:v>
      </x:c>
      <x:c r="C102" s="3" t="str"/>
      <x:c r="D102" s="3" t="str">
        <x:v>操作</x:v>
      </x:c>
      <x:c r="E102" s="3" t="str">
        <x:v>结合字段字典及指南使用，不构成独立法律结论</x:v>
      </x:c>
    </x:row>
    <x:row r="103" ht="52" customHeight="1">
      <x:c r="A103" s="3" t="str">
        <x:v>枚举</x:v>
      </x:c>
      <x:c r="B103" s="3" t="str">
        <x:v>role</x:v>
      </x:c>
      <x:c r="C103" s="3" t="str"/>
      <x:c r="D103" s="3" t="str">
        <x:v>支持</x:v>
      </x:c>
      <x:c r="E103" s="3" t="str">
        <x:v>结合字段字典及指南使用，不构成独立法律结论</x:v>
      </x:c>
    </x:row>
    <x:row r="104" ht="52" customHeight="1">
      <x:c r="A104" s="3" t="str">
        <x:v>枚举</x:v>
      </x:c>
      <x:c r="B104" s="3" t="str">
        <x:v>role</x:v>
      </x:c>
      <x:c r="C104" s="3" t="str"/>
      <x:c r="D104" s="3" t="str">
        <x:v>挑战</x:v>
      </x:c>
      <x:c r="E104" s="3" t="str">
        <x:v>结合字段字典及指南使用，不构成独立法律结论</x:v>
      </x:c>
    </x:row>
    <x:row r="105" ht="52" customHeight="1">
      <x:c r="A105" s="3" t="str">
        <x:v>枚举</x:v>
      </x:c>
      <x:c r="B105" s="3" t="str">
        <x:v>role</x:v>
      </x:c>
      <x:c r="C105" s="3" t="str"/>
      <x:c r="D105" s="3" t="str">
        <x:v>回应</x:v>
      </x:c>
      <x:c r="E105" s="3" t="str">
        <x:v>结合字段字典及指南使用，不构成独立法律结论</x:v>
      </x:c>
    </x:row>
    <x:row r="106" ht="52" customHeight="1">
      <x:c r="A106" s="3" t="str">
        <x:v>枚举</x:v>
      </x:c>
      <x:c r="B106" s="3" t="str">
        <x:v>role</x:v>
      </x:c>
      <x:c r="C106" s="3" t="str"/>
      <x:c r="D106" s="3" t="str">
        <x:v>撤回更正</x:v>
      </x:c>
      <x:c r="E106" s="3" t="str">
        <x:v>结合字段字典及指南使用，不构成独立法律结论</x:v>
      </x:c>
    </x:row>
    <x:row r="107" ht="52" customHeight="1">
      <x:c r="A107" s="3" t="str">
        <x:v>枚举</x:v>
      </x:c>
      <x:c r="B107" s="3" t="str">
        <x:v>role</x:v>
      </x:c>
      <x:c r="C107" s="3" t="str"/>
      <x:c r="D107" s="3" t="str">
        <x:v>保持见证</x:v>
      </x:c>
      <x:c r="E107" s="3" t="str">
        <x:v>结合字段字典及指南使用，不构成独立法律结论</x:v>
      </x:c>
    </x:row>
    <x:row r="108" ht="52" customHeight="1">
      <x:c r="A108" s="3" t="str">
        <x:v>枚举</x:v>
      </x:c>
      <x:c r="B108" s="3" t="str">
        <x:v>role</x:v>
      </x:c>
      <x:c r="C108" s="3" t="str"/>
      <x:c r="D108" s="3" t="str">
        <x:v>同源转述</x:v>
      </x:c>
      <x:c r="E108" s="3" t="str">
        <x:v>结合字段字典及指南使用，不构成独立法律结论</x:v>
      </x:c>
    </x:row>
    <x:row r="109" ht="52" customHeight="1">
      <x:c r="A109" s="3" t="str">
        <x:v>枚举</x:v>
      </x:c>
      <x:c r="B109" s="3" t="str">
        <x:v>role</x:v>
      </x:c>
      <x:c r="C109" s="3" t="str"/>
      <x:c r="D109" s="3" t="str">
        <x:v>派生依赖</x:v>
      </x:c>
      <x:c r="E109" s="3" t="str">
        <x:v>结合字段字典及指南使用，不构成独立法律结论</x:v>
      </x:c>
    </x:row>
    <x:row r="110" ht="52" customHeight="1">
      <x:c r="A110" s="3" t="str">
        <x:v>枚举</x:v>
      </x:c>
      <x:c r="B110" s="3" t="str">
        <x:v>role</x:v>
      </x:c>
      <x:c r="C110" s="3" t="str"/>
      <x:c r="D110" s="3" t="str">
        <x:v>其他</x:v>
      </x:c>
      <x:c r="E110" s="3" t="str">
        <x:v>结合字段字典及指南使用，不构成独立法律结论</x:v>
      </x:c>
    </x:row>
    <x:row r="111" ht="52" customHeight="1">
      <x:c r="A111" s="3" t="str">
        <x:v>枚举</x:v>
      </x:c>
      <x:c r="B111" s="3" t="str">
        <x:v>node</x:v>
      </x:c>
      <x:c r="C111" s="3" t="str"/>
      <x:c r="D111" s="3" t="str">
        <x:v>材料</x:v>
      </x:c>
      <x:c r="E111" s="3" t="str">
        <x:v>结合字段字典及指南使用，不构成独立法律结论</x:v>
      </x:c>
    </x:row>
    <x:row r="112" ht="52" customHeight="1">
      <x:c r="A112" s="3" t="str">
        <x:v>枚举</x:v>
      </x:c>
      <x:c r="B112" s="3" t="str">
        <x:v>node</x:v>
      </x:c>
      <x:c r="C112" s="3" t="str"/>
      <x:c r="D112" s="3" t="str">
        <x:v>片段</x:v>
      </x:c>
      <x:c r="E112" s="3" t="str">
        <x:v>结合字段字典及指南使用，不构成独立法律结论</x:v>
      </x:c>
    </x:row>
    <x:row r="113" ht="52" customHeight="1">
      <x:c r="A113" s="3" t="str">
        <x:v>枚举</x:v>
      </x:c>
      <x:c r="B113" s="3" t="str">
        <x:v>node</x:v>
      </x:c>
      <x:c r="C113" s="3" t="str"/>
      <x:c r="D113" s="3" t="str">
        <x:v>实体</x:v>
      </x:c>
      <x:c r="E113" s="3" t="str">
        <x:v>结合字段字典及指南使用，不构成独立法律结论</x:v>
      </x:c>
    </x:row>
    <x:row r="114" ht="52" customHeight="1">
      <x:c r="A114" s="3" t="str">
        <x:v>枚举</x:v>
      </x:c>
      <x:c r="B114" s="3" t="str">
        <x:v>node</x:v>
      </x:c>
      <x:c r="C114" s="3" t="str"/>
      <x:c r="D114" s="3" t="str">
        <x:v>事件</x:v>
      </x:c>
      <x:c r="E114" s="3" t="str">
        <x:v>结合字段字典及指南使用，不构成独立法律结论</x:v>
      </x:c>
    </x:row>
    <x:row r="115" ht="52" customHeight="1">
      <x:c r="A115" s="3" t="str">
        <x:v>枚举</x:v>
      </x:c>
      <x:c r="B115" s="3" t="str">
        <x:v>node</x:v>
      </x:c>
      <x:c r="C115" s="3" t="str"/>
      <x:c r="D115" s="3" t="str">
        <x:v>要件</x:v>
      </x:c>
      <x:c r="E115" s="3" t="str">
        <x:v>结合字段字典及指南使用，不构成独立法律结论</x:v>
      </x:c>
    </x:row>
    <x:row r="116" ht="52" customHeight="1">
      <x:c r="A116" s="3" t="str">
        <x:v>枚举</x:v>
      </x:c>
      <x:c r="B116" s="3" t="str">
        <x:v>node</x:v>
      </x:c>
      <x:c r="C116" s="3" t="str"/>
      <x:c r="D116" s="3" t="str">
        <x:v>论证</x:v>
      </x:c>
      <x:c r="E116" s="3" t="str">
        <x:v>结合字段字典及指南使用，不构成独立法律结论</x:v>
      </x:c>
    </x:row>
    <x:row r="117" ht="52" customHeight="1">
      <x:c r="A117" s="3" t="str">
        <x:v>枚举</x:v>
      </x:c>
      <x:c r="B117" s="3" t="str">
        <x:v>node</x:v>
      </x:c>
      <x:c r="C117" s="3" t="str"/>
      <x:c r="D117" s="3" t="str">
        <x:v>金额</x:v>
      </x:c>
      <x:c r="E117" s="3" t="str">
        <x:v>结合字段字典及指南使用，不构成独立法律结论</x:v>
      </x:c>
    </x:row>
    <x:row r="118" ht="52" customHeight="1">
      <x:c r="A118" s="3" t="str">
        <x:v>枚举</x:v>
      </x:c>
      <x:c r="B118" s="3" t="str">
        <x:v>node</x:v>
      </x:c>
      <x:c r="C118" s="3" t="str"/>
      <x:c r="D118" s="3" t="str">
        <x:v>更新</x:v>
      </x:c>
      <x:c r="E118" s="3" t="str">
        <x:v>结合字段字典及指南使用，不构成独立法律结论</x:v>
      </x:c>
    </x:row>
    <x:row r="119" ht="52" customHeight="1">
      <x:c r="A119" s="3" t="str">
        <x:v>枚举</x:v>
      </x:c>
      <x:c r="B119" s="3" t="str">
        <x:v>node</x:v>
      </x:c>
      <x:c r="C119" s="3" t="str"/>
      <x:c r="D119" s="3" t="str">
        <x:v>扩展</x:v>
      </x:c>
      <x:c r="E119" s="3" t="str">
        <x:v>结合字段字典及指南使用，不构成独立法律结论</x:v>
      </x:c>
    </x:row>
    <x:row r="120" ht="52" customHeight="1">
      <x:c r="A120" s="3" t="str">
        <x:v>枚举</x:v>
      </x:c>
      <x:c r="B120" s="3" t="str">
        <x:v>amount</x:v>
      </x:c>
      <x:c r="C120" s="3" t="str"/>
      <x:c r="D120" s="3" t="str">
        <x:v>账户总流水</x:v>
      </x:c>
      <x:c r="E120" s="3" t="str">
        <x:v>结合字段字典及指南使用，不构成独立法律结论</x:v>
      </x:c>
    </x:row>
    <x:row r="121" ht="52" customHeight="1">
      <x:c r="A121" s="3" t="str">
        <x:v>枚举</x:v>
      </x:c>
      <x:c r="B121" s="3" t="str">
        <x:v>amount</x:v>
      </x:c>
      <x:c r="C121" s="3" t="str"/>
      <x:c r="D121" s="3" t="str">
        <x:v>涉诈流入资金</x:v>
      </x:c>
      <x:c r="E121" s="3" t="str">
        <x:v>结合字段字典及指南使用，不构成独立法律结论</x:v>
      </x:c>
    </x:row>
    <x:row r="122" ht="52" customHeight="1">
      <x:c r="A122" s="3" t="str">
        <x:v>枚举</x:v>
      </x:c>
      <x:c r="B122" s="3" t="str">
        <x:v>amount</x:v>
      </x:c>
      <x:c r="C122" s="3" t="str"/>
      <x:c r="D122" s="3" t="str">
        <x:v>支付结算金额</x:v>
      </x:c>
      <x:c r="E122" s="3" t="str">
        <x:v>结合字段字典及指南使用，不构成独立法律结论</x:v>
      </x:c>
    </x:row>
    <x:row r="123" ht="52" customHeight="1">
      <x:c r="A123" s="3" t="str">
        <x:v>枚举</x:v>
      </x:c>
      <x:c r="B123" s="3" t="str">
        <x:v>amount</x:v>
      </x:c>
      <x:c r="C123" s="3" t="str"/>
      <x:c r="D123" s="3" t="str">
        <x:v>犯罪数额</x:v>
      </x:c>
      <x:c r="E123" s="3" t="str">
        <x:v>结合字段字典及指南使用，不构成独立法律结论</x:v>
      </x:c>
    </x:row>
    <x:row r="124" ht="52" customHeight="1">
      <x:c r="A124" s="3" t="str">
        <x:v>枚举</x:v>
      </x:c>
      <x:c r="B124" s="3" t="str">
        <x:v>amount</x:v>
      </x:c>
      <x:c r="C124" s="3" t="str"/>
      <x:c r="D124" s="3" t="str">
        <x:v>犯罪所得及收益</x:v>
      </x:c>
      <x:c r="E124" s="3" t="str">
        <x:v>结合字段字典及指南使用，不构成独立法律结论</x:v>
      </x:c>
    </x:row>
    <x:row r="125" ht="52" customHeight="1">
      <x:c r="A125" s="3" t="str">
        <x:v>枚举</x:v>
      </x:c>
      <x:c r="B125" s="3" t="str">
        <x:v>amount</x:v>
      </x:c>
      <x:c r="C125" s="3" t="str"/>
      <x:c r="D125" s="3" t="str">
        <x:v>个人参与数额</x:v>
      </x:c>
      <x:c r="E125" s="3" t="str">
        <x:v>结合字段字典及指南使用，不构成独立法律结论</x:v>
      </x:c>
    </x:row>
    <x:row r="126" ht="52" customHeight="1">
      <x:c r="A126" s="3" t="str">
        <x:v>枚举</x:v>
      </x:c>
      <x:c r="B126" s="3" t="str">
        <x:v>amount</x:v>
      </x:c>
      <x:c r="C126" s="3" t="str"/>
      <x:c r="D126" s="3" t="str">
        <x:v>违法所得或个人获利</x:v>
      </x:c>
      <x:c r="E126" s="3" t="str">
        <x:v>结合字段字典及指南使用，不构成独立法律结论</x:v>
      </x:c>
    </x:row>
    <x:row r="127" ht="52" customHeight="1">
      <x:c r="A127" s="3" t="str">
        <x:v>枚举</x:v>
      </x:c>
      <x:c r="B127" s="3" t="str">
        <x:v>amount</x:v>
      </x:c>
      <x:c r="C127" s="3" t="str"/>
      <x:c r="D127" s="3" t="str">
        <x:v>退赃退赔金额</x:v>
      </x:c>
      <x:c r="E127" s="3" t="str">
        <x:v>结合字段字典及指南使用，不构成独立法律结论</x:v>
      </x:c>
    </x:row>
    <x:row r="128" ht="52" customHeight="1">
      <x:c r="A128" s="3" t="str">
        <x:v>枚举</x:v>
      </x:c>
      <x:c r="B128" s="3" t="str">
        <x:v>amount_status</x:v>
      </x:c>
      <x:c r="C128" s="3" t="str"/>
      <x:c r="D128" s="3" t="str">
        <x:v>查证数额</x:v>
      </x:c>
      <x:c r="E128" s="3" t="str">
        <x:v>结合字段字典及指南使用，不构成独立法律结论</x:v>
      </x:c>
    </x:row>
    <x:row r="129" ht="52" customHeight="1">
      <x:c r="A129" s="3" t="str">
        <x:v>枚举</x:v>
      </x:c>
      <x:c r="B129" s="3" t="str">
        <x:v>amount_status</x:v>
      </x:c>
      <x:c r="C129" s="3" t="str"/>
      <x:c r="D129" s="3" t="str">
        <x:v>材料记载未查证</x:v>
      </x:c>
      <x:c r="E129" s="3" t="str">
        <x:v>结合字段字典及指南使用，不构成独立法律结论</x:v>
      </x:c>
    </x:row>
    <x:row r="130" ht="52" customHeight="1">
      <x:c r="A130" s="3" t="str">
        <x:v>枚举</x:v>
      </x:c>
      <x:c r="B130" s="3" t="str">
        <x:v>amount_status</x:v>
      </x:c>
      <x:c r="C130" s="3" t="str"/>
      <x:c r="D130" s="3" t="str">
        <x:v>估算</x:v>
      </x:c>
      <x:c r="E130" s="3" t="str">
        <x:v>结合字段字典及指南使用，不构成独立法律结论</x:v>
      </x:c>
    </x:row>
    <x:row r="131" ht="52" customHeight="1">
      <x:c r="A131" s="3" t="str">
        <x:v>枚举</x:v>
      </x:c>
      <x:c r="B131" s="3" t="str">
        <x:v>amount_status</x:v>
      </x:c>
      <x:c r="C131" s="3" t="str"/>
      <x:c r="D131" s="3" t="str">
        <x:v>信息不足</x:v>
      </x:c>
      <x:c r="E131" s="3" t="str">
        <x:v>缺少决定性材料或无法形成判断；不同于目标已被否定</x:v>
      </x:c>
    </x:row>
    <x:row r="132" ht="52" customHeight="1">
      <x:c r="A132" s="3" t="str">
        <x:v>枚举</x:v>
      </x:c>
      <x:c r="B132" s="3" t="str">
        <x:v>scope</x:v>
      </x:c>
      <x:c r="C132" s="3" t="str"/>
      <x:c r="D132" s="3" t="str">
        <x:v>流入</x:v>
      </x:c>
      <x:c r="E132" s="3" t="str">
        <x:v>结合字段字典及指南使用，不构成独立法律结论</x:v>
      </x:c>
    </x:row>
    <x:row r="133" ht="52" customHeight="1">
      <x:c r="A133" s="3" t="str">
        <x:v>枚举</x:v>
      </x:c>
      <x:c r="B133" s="3" t="str">
        <x:v>scope</x:v>
      </x:c>
      <x:c r="C133" s="3" t="str"/>
      <x:c r="D133" s="3" t="str">
        <x:v>流出</x:v>
      </x:c>
      <x:c r="E133" s="3" t="str">
        <x:v>结合字段字典及指南使用，不构成独立法律结论</x:v>
      </x:c>
    </x:row>
    <x:row r="134" ht="52" customHeight="1">
      <x:c r="A134" s="3" t="str">
        <x:v>枚举</x:v>
      </x:c>
      <x:c r="B134" s="3" t="str">
        <x:v>scope</x:v>
      </x:c>
      <x:c r="C134" s="3" t="str"/>
      <x:c r="D134" s="3" t="str">
        <x:v>双向</x:v>
      </x:c>
      <x:c r="E134" s="3" t="str">
        <x:v>结合字段字典及指南使用，不构成独立法律结论</x:v>
      </x:c>
    </x:row>
    <x:row r="135" ht="52" customHeight="1">
      <x:c r="A135" s="3" t="str">
        <x:v>枚举</x:v>
      </x:c>
      <x:c r="B135" s="3" t="str">
        <x:v>scope</x:v>
      </x:c>
      <x:c r="C135" s="3" t="str"/>
      <x:c r="D135" s="3" t="str">
        <x:v>单项</x:v>
      </x:c>
      <x:c r="E135" s="3" t="str">
        <x:v>结合字段字典及指南使用，不构成独立法律结论</x:v>
      </x:c>
    </x:row>
    <x:row r="136" ht="52" customHeight="1">
      <x:c r="A136" s="3" t="str">
        <x:v>枚举</x:v>
      </x:c>
      <x:c r="B136" s="3" t="str">
        <x:v>scope</x:v>
      </x:c>
      <x:c r="C136" s="3" t="str"/>
      <x:c r="D136" s="3" t="str">
        <x:v>汇总去重</x:v>
      </x:c>
      <x:c r="E136" s="3" t="str">
        <x:v>结合字段字典及指南使用，不构成独立法律结论</x:v>
      </x:c>
    </x:row>
    <x:row r="137" ht="52" customHeight="1">
      <x:c r="A137" s="3" t="str">
        <x:v>枚举</x:v>
      </x:c>
      <x:c r="B137" s="3" t="str">
        <x:v>r</x:v>
      </x:c>
      <x:c r="C137" s="3" t="str"/>
      <x:c r="D137" s="3" t="str">
        <x:v>KEEP</x:v>
      </x:c>
      <x:c r="E137" s="3" t="str">
        <x:v>原论证仍可依赖；应保留有效根据，不因新增材料一律改动</x:v>
      </x:c>
    </x:row>
    <x:row r="138" ht="52" customHeight="1">
      <x:c r="A138" s="3" t="str">
        <x:v>枚举</x:v>
      </x:c>
      <x:c r="B138" s="3" t="str">
        <x:v>r</x:v>
      </x:c>
      <x:c r="C138" s="3" t="str"/>
      <x:c r="D138" s="3" t="str">
        <x:v>REVISE</x:v>
      </x:c>
      <x:c r="E138" s="3" t="str">
        <x:v>同一论证在修订前提或范围后仍可提出；必须创建新版本</x:v>
      </x:c>
    </x:row>
    <x:row r="139" ht="52" customHeight="1">
      <x:c r="A139" s="3" t="str">
        <x:v>枚举</x:v>
      </x:c>
      <x:c r="B139" s="3" t="str">
        <x:v>r</x:v>
      </x:c>
      <x:c r="C139" s="3" t="str"/>
      <x:c r="D139" s="3" t="str">
        <x:v>STOP</x:v>
      </x:c>
      <x:c r="E139" s="3" t="str">
        <x:v>停止依赖该论证；不表示相反命题成立或自动无罪</x:v>
      </x:c>
    </x:row>
    <x:row r="140" ht="52" customHeight="1">
      <x:c r="A140" s="3" t="str">
        <x:v>枚举</x:v>
      </x:c>
      <x:c r="B140" s="3" t="str">
        <x:v>r</x:v>
      </x:c>
      <x:c r="C140" s="3" t="str"/>
      <x:c r="D140" s="3" t="str">
        <x:v>PENDING</x:v>
      </x:c>
      <x:c r="E140" s="3" t="str">
        <x:v>具体实质材料冲突使该论证使用资格待核；不等于拒答或普通缺信息</x:v>
      </x:c>
    </x:row>
    <x:row r="141" ht="52" customHeight="1">
      <x:c r="A141" s="3" t="str">
        <x:v>枚举</x:v>
      </x:c>
      <x:c r="B141" s="3" t="str">
        <x:v>impact</x:v>
      </x:c>
      <x:c r="C141" s="3" t="str"/>
      <x:c r="D141" s="3" t="str">
        <x:v>必须复核</x:v>
      </x:c>
      <x:c r="E141" s="3" t="str">
        <x:v>结合字段字典及指南使用，不构成独立法律结论</x:v>
      </x:c>
    </x:row>
    <x:row r="142" ht="52" customHeight="1">
      <x:c r="A142" s="3" t="str">
        <x:v>枚举</x:v>
      </x:c>
      <x:c r="B142" s="3" t="str">
        <x:v>impact</x:v>
      </x:c>
      <x:c r="C142" s="3" t="str"/>
      <x:c r="D142" s="3" t="str">
        <x:v>容许复核</x:v>
      </x:c>
      <x:c r="E142" s="3" t="str">
        <x:v>结合字段字典及指南使用，不构成独立法律结论</x:v>
      </x:c>
    </x:row>
    <x:row r="143" ht="52" customHeight="1">
      <x:c r="A143" s="3" t="str">
        <x:v>枚举</x:v>
      </x:c>
      <x:c r="B143" s="3" t="str">
        <x:v>impact</x:v>
      </x:c>
      <x:c r="C143" s="3" t="str"/>
      <x:c r="D143" s="3" t="str">
        <x:v>不受影响</x:v>
      </x:c>
      <x:c r="E143" s="3" t="str">
        <x:v>结合字段字典及指南使用，不构成独立法律结论</x:v>
      </x:c>
    </x:row>
    <x:row r="144" ht="52" customHeight="1">
      <x:c r="A144" s="3" t="str">
        <x:v>枚举</x:v>
      </x:c>
      <x:c r="B144" s="3" t="str">
        <x:v>update</x:v>
      </x:c>
      <x:c r="C144" s="3" t="str"/>
      <x:c r="D144" s="3" t="str">
        <x:v>新增</x:v>
      </x:c>
      <x:c r="E144" s="3" t="str">
        <x:v>结合字段字典及指南使用，不构成独立法律结论</x:v>
      </x:c>
    </x:row>
    <x:row r="145" ht="52" customHeight="1">
      <x:c r="A145" s="3" t="str">
        <x:v>枚举</x:v>
      </x:c>
      <x:c r="B145" s="3" t="str">
        <x:v>update</x:v>
      </x:c>
      <x:c r="C145" s="3" t="str"/>
      <x:c r="D145" s="3" t="str">
        <x:v>明确更正</x:v>
      </x:c>
      <x:c r="E145" s="3" t="str">
        <x:v>结合字段字典及指南使用，不构成独立法律结论</x:v>
      </x:c>
    </x:row>
    <x:row r="146" ht="52" customHeight="1">
      <x:c r="A146" s="3" t="str">
        <x:v>枚举</x:v>
      </x:c>
      <x:c r="B146" s="3" t="str">
        <x:v>update</x:v>
      </x:c>
      <x:c r="C146" s="3" t="str"/>
      <x:c r="D146" s="3" t="str">
        <x:v>撤回</x:v>
      </x:c>
      <x:c r="E146" s="3" t="str">
        <x:v>结合字段字典及指南使用，不构成独立法律结论</x:v>
      </x:c>
    </x:row>
    <x:row r="147" ht="52" customHeight="1">
      <x:c r="A147" s="3" t="str">
        <x:v>枚举</x:v>
      </x:c>
      <x:c r="B147" s="3" t="str">
        <x:v>update</x:v>
      </x:c>
      <x:c r="C147" s="3" t="str"/>
      <x:c r="D147" s="3" t="str">
        <x:v>冲突未决</x:v>
      </x:c>
      <x:c r="E147" s="3" t="str">
        <x:v>结合字段字典及指南使用，不构成独立法律结论</x:v>
      </x:c>
    </x:row>
    <x:row r="148" ht="52" customHeight="1">
      <x:c r="A148" s="3" t="str">
        <x:v>枚举</x:v>
      </x:c>
      <x:c r="B148" s="3" t="str">
        <x:v>update</x:v>
      </x:c>
      <x:c r="C148" s="3" t="str"/>
      <x:c r="D148" s="3" t="str">
        <x:v>法源变化</x:v>
      </x:c>
      <x:c r="E148" s="3" t="str">
        <x:v>结合字段字典及指南使用，不构成独立法律结论</x:v>
      </x:c>
    </x:row>
    <x:row r="149" ht="52" customHeight="1">
      <x:c r="A149" s="3" t="str">
        <x:v>枚举</x:v>
      </x:c>
      <x:c r="B149" s="3" t="str">
        <x:v>lineage</x:v>
      </x:c>
      <x:c r="C149" s="3" t="str"/>
      <x:c r="D149" s="3" t="str">
        <x:v>同一论证修订</x:v>
      </x:c>
      <x:c r="E149" s="3" t="str">
        <x:v>结合字段字典及指南使用，不构成独立法律结论</x:v>
      </x:c>
    </x:row>
    <x:row r="150" ht="52" customHeight="1">
      <x:c r="A150" s="3" t="str">
        <x:v>枚举</x:v>
      </x:c>
      <x:c r="B150" s="3" t="str">
        <x:v>lineage</x:v>
      </x:c>
      <x:c r="C150" s="3" t="str"/>
      <x:c r="D150" s="3" t="str">
        <x:v>旧论证停止</x:v>
      </x:c>
      <x:c r="E150" s="3" t="str">
        <x:v>结合字段字典及指南使用，不构成独立法律结论</x:v>
      </x:c>
    </x:row>
    <x:row r="151" ht="52" customHeight="1">
      <x:c r="A151" s="3" t="str">
        <x:v>枚举</x:v>
      </x:c>
      <x:c r="B151" s="3" t="str">
        <x:v>lineage</x:v>
      </x:c>
      <x:c r="C151" s="3" t="str"/>
      <x:c r="D151" s="3" t="str">
        <x:v>独立新增</x:v>
      </x:c>
      <x:c r="E151" s="3" t="str">
        <x:v>结合字段字典及指南使用，不构成独立法律结论</x:v>
      </x:c>
    </x:row>
    <x:row r="152" ht="52" customHeight="1">
      <x:c r="A152" s="3" t="str">
        <x:v>枚举</x:v>
      </x:c>
      <x:c r="B152" s="3" t="str">
        <x:v>lineage</x:v>
      </x:c>
      <x:c r="C152" s="3" t="str"/>
      <x:c r="D152" s="3" t="str">
        <x:v>原论证保持</x:v>
      </x:c>
      <x:c r="E152" s="3" t="str">
        <x:v>结合字段字典及指南使用，不构成独立法律结论</x:v>
      </x:c>
    </x:row>
    <x:row r="153" ht="52" customHeight="1">
      <x:c r="A153" s="3" t="str">
        <x:v>枚举</x:v>
      </x:c>
      <x:c r="B153" s="3" t="str">
        <x:v>lineage</x:v>
      </x:c>
      <x:c r="C153" s="3" t="str"/>
      <x:c r="D153" s="3" t="str">
        <x:v>资格待核</x:v>
      </x:c>
      <x:c r="E153" s="3" t="str">
        <x:v>结合字段字典及指南使用，不构成独立法律结论</x:v>
      </x:c>
    </x:row>
    <x:row r="154" ht="52" customHeight="1">
      <x:c r="A154" s="3" t="str">
        <x:v>枚举</x:v>
      </x:c>
      <x:c r="B154" s="3" t="str">
        <x:v>ext</x:v>
      </x:c>
      <x:c r="C154" s="3" t="str"/>
      <x:c r="D154" s="3" t="str">
        <x:v>合规事实</x:v>
      </x:c>
      <x:c r="E154" s="3" t="str">
        <x:v>结合字段字典及指南使用，不构成独立法律结论</x:v>
      </x:c>
    </x:row>
    <x:row r="155" ht="52" customHeight="1">
      <x:c r="A155" s="3" t="str">
        <x:v>枚举</x:v>
      </x:c>
      <x:c r="B155" s="3" t="str">
        <x:v>ext</x:v>
      </x:c>
      <x:c r="C155" s="3" t="str"/>
      <x:c r="D155" s="3" t="str">
        <x:v>单位归责</x:v>
      </x:c>
      <x:c r="E155" s="3" t="str">
        <x:v>结合字段字典及指南使用，不构成独立法律结论</x:v>
      </x:c>
    </x:row>
    <x:row r="156" ht="52" customHeight="1">
      <x:c r="A156" s="3" t="str">
        <x:v>枚举</x:v>
      </x:c>
      <x:c r="B156" s="3" t="str">
        <x:v>ext</x:v>
      </x:c>
      <x:c r="C156" s="3" t="str"/>
      <x:c r="D156" s="3" t="str">
        <x:v>共同犯罪地位</x:v>
      </x:c>
      <x:c r="E156" s="3" t="str">
        <x:v>结合字段字典及指南使用，不构成独立法律结论</x:v>
      </x:c>
    </x:row>
    <x:row r="157" ht="52" customHeight="1">
      <x:c r="A157" s="3" t="str">
        <x:v>枚举</x:v>
      </x:c>
      <x:c r="B157" s="3" t="str">
        <x:v>ext</x:v>
      </x:c>
      <x:c r="C157" s="3" t="str"/>
      <x:c r="D157" s="3" t="str">
        <x:v>罪数竞合</x:v>
      </x:c>
      <x:c r="E157" s="3" t="str">
        <x:v>结合字段字典及指南使用，不构成独立法律结论</x:v>
      </x:c>
    </x:row>
    <x:row r="158" ht="52" customHeight="1">
      <x:c r="A158" s="3" t="str">
        <x:v>枚举</x:v>
      </x:c>
      <x:c r="B158" s="3" t="str">
        <x:v>ext</x:v>
      </x:c>
      <x:c r="C158" s="3" t="str"/>
      <x:c r="D158" s="3" t="str">
        <x:v>中国刑法管辖</x:v>
      </x:c>
      <x:c r="E158" s="3" t="str">
        <x:v>结合字段字典及指南使用，不构成独立法律结论</x:v>
      </x:c>
    </x:row>
    <x:row r="159" ht="52" customHeight="1">
      <x:c r="A159" s="3" t="str">
        <x:v>枚举</x:v>
      </x:c>
      <x:c r="B159" s="3" t="str">
        <x:v>ext</x:v>
      </x:c>
      <x:c r="C159" s="3" t="str"/>
      <x:c r="D159" s="3" t="str">
        <x:v>国内办案管辖</x:v>
      </x:c>
      <x:c r="E159" s="3" t="str">
        <x:v>结合字段字典及指南使用，不构成独立法律结论</x:v>
      </x:c>
    </x:row>
    <x:row r="160" ht="52" customHeight="1">
      <x:c r="A160" s="3" t="str">
        <x:v>枚举</x:v>
      </x:c>
      <x:c r="B160" s="3" t="str">
        <x:v>ext</x:v>
      </x:c>
      <x:c r="C160" s="3" t="str"/>
      <x:c r="D160" s="3" t="str">
        <x:v>外国法适用</x:v>
      </x:c>
      <x:c r="E160" s="3" t="str">
        <x:v>结合字段字典及指南使用，不构成独立法律结论</x:v>
      </x:c>
    </x:row>
    <x:row r="161" ht="52" customHeight="1">
      <x:c r="A161" s="3" t="str">
        <x:v>枚举</x:v>
      </x:c>
      <x:c r="B161" s="3" t="str">
        <x:v>ext</x:v>
      </x:c>
      <x:c r="C161" s="3" t="str"/>
      <x:c r="D161" s="3" t="str">
        <x:v>量刑事实</x:v>
      </x:c>
      <x:c r="E161" s="3" t="str">
        <x:v>结合字段字典及指南使用，不构成独立法律结论</x:v>
      </x:c>
    </x:row>
    <x:row r="162" ht="52" customHeight="1">
      <x:c r="A162" s="3" t="str">
        <x:v>枚举</x:v>
      </x:c>
      <x:c r="B162" s="3" t="str">
        <x:v>ext</x:v>
      </x:c>
      <x:c r="C162" s="3" t="str"/>
      <x:c r="D162" s="3" t="str">
        <x:v>程序与文书</x:v>
      </x:c>
      <x:c r="E162" s="3" t="str">
        <x:v>结合字段字典及指南使用，不构成独立法律结论</x:v>
      </x:c>
    </x:row>
    <x:row r="163" ht="52" customHeight="1">
      <x:c r="A163" s="3" t="str">
        <x:v>枚举</x:v>
      </x:c>
      <x:c r="B163" s="3" t="str">
        <x:v>ext</x:v>
      </x:c>
      <x:c r="C163" s="3" t="str"/>
      <x:c r="D163" s="3" t="str">
        <x:v>规则核验</x:v>
      </x:c>
      <x:c r="E163" s="3" t="str">
        <x:v>结合字段字典及指南使用，不构成独立法律结论</x:v>
      </x:c>
    </x:row>
    <x:row r="164" ht="52" customHeight="1">
      <x:c r="A164" s="3" t="str">
        <x:v>枚举</x:v>
      </x:c>
      <x:c r="B164" s="3" t="str">
        <x:v>decision</x:v>
      </x:c>
      <x:c r="C164" s="3" t="str"/>
      <x:c r="D164" s="3" t="str">
        <x:v>采A</x:v>
      </x:c>
      <x:c r="E164" s="3" t="str">
        <x:v>结合字段字典及指南使用，不构成独立法律结论</x:v>
      </x:c>
    </x:row>
    <x:row r="165" ht="52" customHeight="1">
      <x:c r="A165" s="3" t="str">
        <x:v>枚举</x:v>
      </x:c>
      <x:c r="B165" s="3" t="str">
        <x:v>decision</x:v>
      </x:c>
      <x:c r="C165" s="3" t="str"/>
      <x:c r="D165" s="3" t="str">
        <x:v>采B</x:v>
      </x:c>
      <x:c r="E165" s="3" t="str">
        <x:v>结合字段字典及指南使用，不构成独立法律结论</x:v>
      </x:c>
    </x:row>
    <x:row r="166" ht="52" customHeight="1">
      <x:c r="A166" s="3" t="str">
        <x:v>枚举</x:v>
      </x:c>
      <x:c r="B166" s="3" t="str">
        <x:v>decision</x:v>
      </x:c>
      <x:c r="C166" s="3" t="str"/>
      <x:c r="D166" s="3" t="str">
        <x:v>第三方案</x:v>
      </x:c>
      <x:c r="E166" s="3" t="str">
        <x:v>结合字段字典及指南使用，不构成独立法律结论</x:v>
      </x:c>
    </x:row>
    <x:row r="167" ht="52" customHeight="1">
      <x:c r="A167" s="3" t="str">
        <x:v>枚举</x:v>
      </x:c>
      <x:c r="B167" s="3" t="str">
        <x:v>decision</x:v>
      </x:c>
      <x:c r="C167" s="3" t="str"/>
      <x:c r="D167" s="3" t="str">
        <x:v>合理多方案</x:v>
      </x:c>
      <x:c r="E167" s="3" t="str">
        <x:v>结合字段字典及指南使用，不构成独立法律结论</x:v>
      </x:c>
    </x:row>
    <x:row r="168" ht="52" customHeight="1">
      <x:c r="A168" s="3" t="str">
        <x:v>枚举</x:v>
      </x:c>
      <x:c r="B168" s="3" t="str">
        <x:v>decision</x:v>
      </x:c>
      <x:c r="C168" s="3" t="str"/>
      <x:c r="D168" s="3" t="str">
        <x:v>退回补标</x:v>
      </x:c>
      <x:c r="E168" s="3" t="str">
        <x:v>结合字段字典及指南使用，不构成独立法律结论</x:v>
      </x:c>
    </x:row>
    <x:row r="169" ht="52" customHeight="1">
      <x:c r="A169" s="3" t="str">
        <x:v>枚举</x:v>
      </x:c>
      <x:c r="B169" s="3" t="str">
        <x:v>decision</x:v>
      </x:c>
      <x:c r="C169" s="3" t="str"/>
      <x:c r="D169" s="3" t="str">
        <x:v>材料不可判</x:v>
      </x:c>
      <x:c r="E169" s="3" t="str">
        <x:v>结合字段字典及指南使用，不构成独立法律结论</x:v>
      </x:c>
    </x:row>
    <x:row r="170" ht="52" customHeight="1">
      <x:c r="A170" s="3" t="str">
        <x:v>枚举</x:v>
      </x:c>
      <x:c r="B170" s="3" t="str">
        <x:v>cq</x:v>
      </x:c>
      <x:c r="C170" s="3" t="str"/>
      <x:c r="D170" s="3" t="str">
        <x:v>CQ01主体归属</x:v>
      </x:c>
      <x:c r="E170" s="3" t="str">
        <x:v>结合字段字典及指南使用，不构成独立法律结论</x:v>
      </x:c>
    </x:row>
    <x:row r="171" ht="52" customHeight="1">
      <x:c r="A171" s="3" t="str">
        <x:v>枚举</x:v>
      </x:c>
      <x:c r="B171" s="3" t="str">
        <x:v>cq</x:v>
      </x:c>
      <x:c r="C171" s="3" t="str"/>
      <x:c r="D171" s="3" t="str">
        <x:v>CQ02时间先后</x:v>
      </x:c>
      <x:c r="E171" s="3" t="str">
        <x:v>结合字段字典及指南使用，不构成独立法律结论</x:v>
      </x:c>
    </x:row>
    <x:row r="172" ht="52" customHeight="1">
      <x:c r="A172" s="3" t="str">
        <x:v>枚举</x:v>
      </x:c>
      <x:c r="B172" s="3" t="str">
        <x:v>cq</x:v>
      </x:c>
      <x:c r="C172" s="3" t="str"/>
      <x:c r="D172" s="3" t="str">
        <x:v>CQ03认识对象</x:v>
      </x:c>
      <x:c r="E172" s="3" t="str">
        <x:v>结合字段字典及指南使用，不构成独立法律结论</x:v>
      </x:c>
    </x:row>
    <x:row r="173" ht="52" customHeight="1">
      <x:c r="A173" s="3" t="str">
        <x:v>枚举</x:v>
      </x:c>
      <x:c r="B173" s="3" t="str">
        <x:v>cq</x:v>
      </x:c>
      <x:c r="C173" s="3" t="str"/>
      <x:c r="D173" s="3" t="str">
        <x:v>CQ04来源可靠性</x:v>
      </x:c>
      <x:c r="E173" s="3" t="str">
        <x:v>结合字段字典及指南使用，不构成独立法律结论</x:v>
      </x:c>
    </x:row>
    <x:row r="174" ht="52" customHeight="1">
      <x:c r="A174" s="3" t="str">
        <x:v>枚举</x:v>
      </x:c>
      <x:c r="B174" s="3" t="str">
        <x:v>cq</x:v>
      </x:c>
      <x:c r="C174" s="3" t="str"/>
      <x:c r="D174" s="3" t="str">
        <x:v>CQ05共同来源</x:v>
      </x:c>
      <x:c r="E174" s="3" t="str">
        <x:v>结合字段字典及指南使用，不构成独立法律结论</x:v>
      </x:c>
    </x:row>
    <x:row r="175" ht="52" customHeight="1">
      <x:c r="A175" s="3" t="str">
        <x:v>枚举</x:v>
      </x:c>
      <x:c r="B175" s="3" t="str">
        <x:v>cq</x:v>
      </x:c>
      <x:c r="C175" s="3" t="str"/>
      <x:c r="D175" s="3" t="str">
        <x:v>CQ06正常业务解释</x:v>
      </x:c>
      <x:c r="E175" s="3" t="str">
        <x:v>结合字段字典及指南使用，不构成独立法律结论</x:v>
      </x:c>
    </x:row>
    <x:row r="176" ht="52" customHeight="1">
      <x:c r="A176" s="3" t="str">
        <x:v>枚举</x:v>
      </x:c>
      <x:c r="B176" s="3" t="str">
        <x:v>cq</x:v>
      </x:c>
      <x:c r="C176" s="3" t="str"/>
      <x:c r="D176" s="3" t="str">
        <x:v>CQ07推断关联</x:v>
      </x:c>
      <x:c r="E176" s="3" t="str">
        <x:v>结合字段字典及指南使用，不构成独立法律结论</x:v>
      </x:c>
    </x:row>
    <x:row r="177" ht="52" customHeight="1">
      <x:c r="A177" s="3" t="str">
        <x:v>枚举</x:v>
      </x:c>
      <x:c r="B177" s="3" t="str">
        <x:v>cq</x:v>
      </x:c>
      <x:c r="C177" s="3" t="str"/>
      <x:c r="D177" s="3" t="str">
        <x:v>CQ08资金形成及口径</x:v>
      </x:c>
      <x:c r="E177" s="3" t="str">
        <x:v>结合字段字典及指南使用，不构成独立法律结论</x:v>
      </x:c>
    </x:row>
    <x:row r="178" ht="52" customHeight="1">
      <x:c r="A178" s="3" t="str">
        <x:v>枚举</x:v>
      </x:c>
      <x:c r="B178" s="3" t="str">
        <x:v>cq</x:v>
      </x:c>
      <x:c r="C178" s="3" t="str"/>
      <x:c r="D178" s="3" t="str">
        <x:v>CQ09共同分工</x:v>
      </x:c>
      <x:c r="E178" s="3" t="str">
        <x:v>结合字段字典及指南使用，不构成独立法律结论</x:v>
      </x:c>
    </x:row>
    <x:row r="179" ht="52" customHeight="1">
      <x:c r="A179" s="3" t="str">
        <x:v>枚举</x:v>
      </x:c>
      <x:c r="B179" s="3" t="str">
        <x:v>cq</x:v>
      </x:c>
      <x:c r="C179" s="3" t="str"/>
      <x:c r="D179" s="3" t="str">
        <x:v>CQ10规范前提</x:v>
      </x:c>
      <x:c r="E179" s="3" t="str">
        <x:v>结合字段字典及指南使用，不构成独立法律结论</x:v>
      </x:c>
    </x:row>
    <x:row r="180" ht="52" customHeight="1">
      <x:c r="A180" s="3" t="str">
        <x:v>枚举</x:v>
      </x:c>
      <x:c r="B180" s="3" t="str">
        <x:v>cq</x:v>
      </x:c>
      <x:c r="C180" s="3" t="str"/>
      <x:c r="D180" s="3" t="str">
        <x:v>CQ11证明责任</x:v>
      </x:c>
      <x:c r="E180" s="3" t="str">
        <x:v>结合字段字典及指南使用，不构成独立法律结论</x:v>
      </x:c>
    </x:row>
    <x:row r="181" ht="52" customHeight="1">
      <x:c r="A181" s="3" t="str">
        <x:v>枚举</x:v>
      </x:c>
      <x:c r="B181" s="3" t="str">
        <x:v>cq</x:v>
      </x:c>
      <x:c r="C181" s="3" t="str"/>
      <x:c r="D181" s="3" t="str">
        <x:v>CQ12范围传播</x:v>
      </x:c>
      <x:c r="E181" s="3" t="str">
        <x:v>结合字段字典及指南使用，不构成独立法律结论</x:v>
      </x:c>
    </x:row>
    <x:row r="182" ht="52" customHeight="1">
      <x:c r="A182" s="3" t="str">
        <x:v>枚举</x:v>
      </x:c>
      <x:c r="B182" s="3" t="str">
        <x:v>cq</x:v>
      </x:c>
      <x:c r="C182" s="3" t="str"/>
      <x:c r="D182" s="3" t="str">
        <x:v>不适用</x:v>
      </x:c>
      <x:c r="E182" s="3" t="str">
        <x:v>该字段或问题与此具体对象无关；必须在理由中说明</x:v>
      </x:c>
    </x:row>
    <x:row r="183" ht="52" customHeight="1">
      <x:c r="A183" s="3" t="str">
        <x:v>枚举</x:v>
      </x:c>
      <x:c r="B183" s="3" t="str">
        <x:v>cq_effect</x:v>
      </x:c>
      <x:c r="C183" s="3" t="str"/>
      <x:c r="D183" s="3" t="str">
        <x:v>仅提出问题</x:v>
      </x:c>
      <x:c r="E183" s="3" t="str">
        <x:v>结合字段字典及指南使用，不构成独立法律结论</x:v>
      </x:c>
    </x:row>
    <x:row r="184" ht="52" customHeight="1">
      <x:c r="A184" s="3" t="str">
        <x:v>枚举</x:v>
      </x:c>
      <x:c r="B184" s="3" t="str">
        <x:v>cq_effect</x:v>
      </x:c>
      <x:c r="C184" s="3" t="str"/>
      <x:c r="D184" s="3" t="str">
        <x:v>构成实质挑战</x:v>
      </x:c>
      <x:c r="E184" s="3" t="str">
        <x:v>结合字段字典及指南使用，不构成独立法律结论</x:v>
      </x:c>
    </x:row>
    <x:row r="185" ht="52" customHeight="1">
      <x:c r="A185" s="3" t="str">
        <x:v>枚举</x:v>
      </x:c>
      <x:c r="B185" s="3" t="str">
        <x:v>cq_effect</x:v>
      </x:c>
      <x:c r="C185" s="3" t="str"/>
      <x:c r="D185" s="3" t="str">
        <x:v>挑战已回应</x:v>
      </x:c>
      <x:c r="E185" s="3" t="str">
        <x:v>结合字段字典及指南使用，不构成独立法律结论</x:v>
      </x:c>
    </x:row>
    <x:row r="186" ht="52" customHeight="1">
      <x:c r="A186" s="3" t="str">
        <x:v>枚举</x:v>
      </x:c>
      <x:c r="B186" s="3" t="str">
        <x:v>cq_effect</x:v>
      </x:c>
      <x:c r="C186" s="3" t="str"/>
      <x:c r="D186" s="3" t="str">
        <x:v>削弱仍可使用</x:v>
      </x:c>
      <x:c r="E186" s="3" t="str">
        <x:v>结合字段字典及指南使用，不构成独立法律结论</x:v>
      </x:c>
    </x:row>
    <x:row r="187" ht="52" customHeight="1">
      <x:c r="A187" s="3" t="str">
        <x:v>枚举</x:v>
      </x:c>
      <x:c r="B187" s="3" t="str">
        <x:v>cq_effect</x:v>
      </x:c>
      <x:c r="C187" s="3" t="str"/>
      <x:c r="D187" s="3" t="str">
        <x:v>击败该依据</x:v>
      </x:c>
      <x:c r="E187" s="3" t="str">
        <x:v>结合字段字典及指南使用，不构成独立法律结论</x:v>
      </x:c>
    </x:row>
    <x:row r="188" ht="52" customHeight="1">
      <x:c r="A188" s="3" t="str">
        <x:v>枚举</x:v>
      </x:c>
      <x:c r="B188" s="3" t="str">
        <x:v>cq_effect</x:v>
      </x:c>
      <x:c r="C188" s="3" t="str"/>
      <x:c r="D188" s="3" t="str">
        <x:v>冲突未解决</x:v>
      </x:c>
      <x:c r="E188" s="3" t="str">
        <x:v>结合字段字典及指南使用，不构成独立法律结论</x:v>
      </x:c>
    </x:row>
    <x:row r="189" ht="52" customHeight="1">
      <x:c r="A189" s="3" t="str">
        <x:v>枚举</x:v>
      </x:c>
      <x:c r="B189" s="3" t="str">
        <x:v>cq_effect</x:v>
      </x:c>
      <x:c r="C189" s="3" t="str"/>
      <x:c r="D189" s="3" t="str">
        <x:v>不适用</x:v>
      </x:c>
      <x:c r="E189" s="3" t="str">
        <x:v>该字段或问题与此具体对象无关；必须在理由中说明</x:v>
      </x:c>
    </x:row>
  </x:sheetData>
  <x:pageMargins left="0.7" right="0.7" top="0.75" bottom="0.75" header="0.3" footer="0.3"/>
  <x:tableParts count="1">
    <x:tablePart xmlns:r="http://schemas.openxmlformats.org/officeDocument/2006/relationships" r:id="Rbd355da28197449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3" hidden="0" customWidth="1"/>
    <x:col min="4" max="4" width="18" hidden="0" customWidth="1"/>
    <x:col min="5" max="5" width="72" hidden="0" customWidth="1"/>
    <x:col min="6" max="6" width="86" hidden="0" customWidth="1"/>
  </x:cols>
  <x:sheetData>
    <x:row r="1" ht="52" customHeight="1">
      <x:c r="A1" s="6" t="str">
        <x:v>工作表</x:v>
      </x:c>
      <x:c r="B1" s="6" t="str">
        <x:v>字段</x:v>
      </x:c>
      <x:c r="C1" s="6" t="str">
        <x:v>导出键</x:v>
      </x:c>
      <x:c r="D1" s="6" t="str">
        <x:v>填写要求</x:v>
      </x:c>
      <x:c r="E1" s="6" t="str">
        <x:v>取值或类型</x:v>
      </x:c>
      <x:c r="F1" s="6" t="str">
        <x:v>填写说明</x:v>
      </x:c>
    </x:row>
    <x:row r="2" ht="58" customHeight="1">
      <x:c r="A2" s="3" t="str">
        <x:v>任务登记</x:v>
      </x:c>
      <x:c r="B2" s="3" t="str">
        <x:v>任务ID</x:v>
      </x:c>
      <x:c r="C2" s="3" t="str">
        <x:v>task_id</x:v>
      </x:c>
      <x:c r="D2" s="3" t="str">
        <x:v>必填</x:v>
      </x:c>
      <x:c r="E2" s="3" t="str">
        <x:v>见填写说明</x:v>
      </x:c>
      <x:c r="F2" s="3" t="str">
        <x:v>T001_A_E0；A与B必须使用独立副本</x:v>
      </x:c>
    </x:row>
    <x:row r="3" ht="58" customHeight="1">
      <x:c r="A3" s="3" t="str">
        <x:v>任务登记</x:v>
      </x:c>
      <x:c r="B3" s="3" t="str">
        <x:v>案件ID</x:v>
      </x:c>
      <x:c r="C3" s="3" t="str">
        <x:v>case_id</x:v>
      </x:c>
      <x:c r="D3" s="3" t="str">
        <x:v>必填</x:v>
      </x:c>
      <x:c r="E3" s="3" t="str">
        <x:v>见填写说明</x:v>
      </x:c>
      <x:c r="F3" s="3" t="str">
        <x:v>关联案件表</x:v>
      </x:c>
    </x:row>
    <x:row r="4" ht="58" customHeight="1">
      <x:c r="A4" s="3" t="str">
        <x:v>任务登记</x:v>
      </x:c>
      <x:c r="B4" s="3" t="str">
        <x:v>用途</x:v>
      </x:c>
      <x:c r="C4" s="3" t="str">
        <x:v>usage</x:v>
      </x:c>
      <x:c r="D4" s="3" t="str">
        <x:v>必填</x:v>
      </x:c>
      <x:c r="E4" s="3" t="str">
        <x:v>正式；试标</x:v>
      </x:c>
      <x:c r="F4" s="3" t="str">
        <x:v>试标不计入正式测试</x:v>
      </x:c>
    </x:row>
    <x:row r="5" ht="58" customHeight="1">
      <x:c r="A5" s="3" t="str">
        <x:v>任务登记</x:v>
      </x:c>
      <x:c r="B5" s="3" t="str">
        <x:v>评价方式</x:v>
      </x:c>
      <x:c r="C5" s="3" t="str">
        <x:v>mode</x:v>
      </x:c>
      <x:c r="D5" s="3" t="str">
        <x:v>必填</x:v>
      </x:c>
      <x:c r="E5" s="3" t="str">
        <x:v>材料内评价；裁判理由重建</x:v>
      </x:c>
      <x:c r="F5" s="3" t="str">
        <x:v>材料内评价与裁判理由重建分轨</x:v>
      </x:c>
    </x:row>
    <x:row r="6" ht="58" customHeight="1">
      <x:c r="A6" s="3" t="str">
        <x:v>任务登记</x:v>
      </x:c>
      <x:c r="B6" s="3" t="str">
        <x:v>标注者代号</x:v>
      </x:c>
      <x:c r="C6" s="3" t="str">
        <x:v>annotator_id</x:v>
      </x:c>
      <x:c r="D6" s="3" t="str">
        <x:v>必填</x:v>
      </x:c>
      <x:c r="E6" s="3" t="str">
        <x:v>见填写说明</x:v>
      </x:c>
      <x:c r="F6" s="3" t="str">
        <x:v>代号与资格登记另行保管</x:v>
      </x:c>
    </x:row>
    <x:row r="7" ht="58" customHeight="1">
      <x:c r="A7" s="3" t="str">
        <x:v>任务登记</x:v>
      </x:c>
      <x:c r="B7" s="3" t="str">
        <x:v>标注角色</x:v>
      </x:c>
      <x:c r="C7" s="3" t="str">
        <x:v>annotator_role</x:v>
      </x:c>
      <x:c r="D7" s="3" t="str">
        <x:v>必填</x:v>
      </x:c>
      <x:c r="E7" s="3" t="str">
        <x:v>A；B；C</x:v>
      </x:c>
      <x:c r="F7" s="3" t="str">
        <x:v>A或B独立标注；C裁决及第三方案记录</x:v>
      </x:c>
    </x:row>
    <x:row r="8" ht="58" customHeight="1">
      <x:c r="A8" s="3" t="str">
        <x:v>任务登记</x:v>
      </x:c>
      <x:c r="B8" s="3" t="str">
        <x:v>可见阶段</x:v>
      </x:c>
      <x:c r="C8" s="3" t="str">
        <x:v>stage</x:v>
      </x:c>
      <x:c r="D8" s="3" t="str">
        <x:v>必填</x:v>
      </x:c>
      <x:c r="E8" s="3" t="str">
        <x:v>E0；U1；U2；U3；U4；U5；FINAL</x:v>
      </x:c>
      <x:c r="F8" s="3" t="str">
        <x:v>只允许查看该阶段及此前材料</x:v>
      </x:c>
    </x:row>
    <x:row r="9" ht="58" customHeight="1">
      <x:c r="A9" s="3" t="str">
        <x:v>任务登记</x:v>
      </x:c>
      <x:c r="B9" s="3" t="str">
        <x:v>可见材料清单</x:v>
      </x:c>
      <x:c r="C9" s="3" t="str">
        <x:v>visible_source_ids</x:v>
      </x:c>
      <x:c r="D9" s="3" t="str">
        <x:v>必填</x:v>
      </x:c>
      <x:c r="E9" s="3" t="str">
        <x:v>见填写说明</x:v>
      </x:c>
      <x:c r="F9" s="3" t="str">
        <x:v>材料ID用英文分号分隔；不得含未来更新</x:v>
      </x:c>
    </x:row>
    <x:row r="10" ht="58" customHeight="1">
      <x:c r="A10" s="3" t="str">
        <x:v>任务登记</x:v>
      </x:c>
      <x:c r="B10" s="3" t="str">
        <x:v>规范包版本</x:v>
      </x:c>
      <x:c r="C10" s="3" t="str">
        <x:v>norm_version</x:v>
      </x:c>
      <x:c r="D10" s="3" t="str">
        <x:v>必填</x:v>
      </x:c>
      <x:c r="E10" s="3" t="str">
        <x:v>见填写说明</x:v>
      </x:c>
      <x:c r="F10" s="3" t="str">
        <x:v>例如Norm20260912_v1；须确定适用条件</x:v>
      </x:c>
    </x:row>
    <x:row r="11" ht="58" customHeight="1">
      <x:c r="A11" s="3" t="str">
        <x:v>任务登记</x:v>
      </x:c>
      <x:c r="B11" s="3" t="str">
        <x:v>指南版本</x:v>
      </x:c>
      <x:c r="C11" s="3" t="str">
        <x:v>guide_version</x:v>
      </x:c>
      <x:c r="D11" s="3" t="str">
        <x:v>必填</x:v>
      </x:c>
      <x:c r="E11" s="3" t="str">
        <x:v>见填写说明</x:v>
      </x:c>
      <x:c r="F11" s="3" t="str">
        <x:v>v1；修改后新建版本</x:v>
      </x:c>
    </x:row>
    <x:row r="12" ht="58" customHeight="1">
      <x:c r="A12" s="3" t="str">
        <x:v>任务登记</x:v>
      </x:c>
      <x:c r="B12" s="3" t="str">
        <x:v>初始锁定时间</x:v>
      </x:c>
      <x:c r="C12" s="3" t="str">
        <x:v>locked_at</x:v>
      </x:c>
      <x:c r="D12" s="3" t="str">
        <x:v>条件或可选</x:v>
      </x:c>
      <x:c r="E12" s="3" t="str">
        <x:v>见填写说明</x:v>
      </x:c>
      <x:c r="F12" s="3" t="str">
        <x:v>E0提交后协调员填写ISO时间含时区</x:v>
      </x:c>
    </x:row>
    <x:row r="13" ht="58" customHeight="1">
      <x:c r="A13" s="3" t="str">
        <x:v>任务登记</x:v>
      </x:c>
      <x:c r="B13" s="3" t="str">
        <x:v>完成状态</x:v>
      </x:c>
      <x:c r="C13" s="3" t="str">
        <x:v>status</x:v>
      </x:c>
      <x:c r="D13" s="3" t="str">
        <x:v>必填</x:v>
      </x:c>
      <x:c r="E13" s="3" t="str">
        <x:v>未开始；标注中；已提交；退回修改</x:v>
      </x:c>
      <x:c r="F13" s="3" t="str">
        <x:v>提交不代表已经通过裁决</x:v>
      </x:c>
    </x:row>
    <x:row r="14" ht="58" customHeight="1">
      <x:c r="A14" s="3" t="str">
        <x:v>任务登记</x:v>
      </x:c>
      <x:c r="B14" s="3" t="str">
        <x:v>用时分钟</x:v>
      </x:c>
      <x:c r="C14" s="3" t="str">
        <x:v>minutes</x:v>
      </x:c>
      <x:c r="D14" s="3" t="str">
        <x:v>条件或可选</x:v>
      </x:c>
      <x:c r="E14" s="3" t="str">
        <x:v>见填写说明</x:v>
      </x:c>
      <x:c r="F14" s="3" t="str">
        <x:v>真实耗时数字；未知留空</x:v>
      </x:c>
    </x:row>
    <x:row r="15" ht="58" customHeight="1">
      <x:c r="A15" s="3" t="str">
        <x:v>任务登记</x:v>
      </x:c>
      <x:c r="B15" s="3" t="str">
        <x:v>备注</x:v>
      </x:c>
      <x:c r="C15" s="3" t="str">
        <x:v>note</x:v>
      </x:c>
      <x:c r="D15" s="3" t="str">
        <x:v>条件或可选</x:v>
      </x:c>
      <x:c r="E15" s="3" t="str">
        <x:v>见填写说明</x:v>
      </x:c>
      <x:c r="F15" s="3" t="str">
        <x:v>盲法偏离或任务范围限制</x:v>
      </x:c>
    </x:row>
    <x:row r="16" ht="58" customHeight="1">
      <x:c r="A16" s="3" t="str">
        <x:v>案件</x:v>
      </x:c>
      <x:c r="B16" s="3" t="str">
        <x:v>案件ID</x:v>
      </x:c>
      <x:c r="C16" s="3" t="str">
        <x:v>case_id</x:v>
      </x:c>
      <x:c r="D16" s="3" t="str">
        <x:v>必填</x:v>
      </x:c>
      <x:c r="E16" s="3" t="str">
        <x:v>见填写说明</x:v>
      </x:c>
      <x:c r="F16" s="3" t="str">
        <x:v>C001；不填原案号作公开ID</x:v>
      </x:c>
    </x:row>
    <x:row r="17" ht="58" customHeight="1">
      <x:c r="A17" s="3" t="str">
        <x:v>案件</x:v>
      </x:c>
      <x:c r="B17" s="3" t="str">
        <x:v>案件族ID</x:v>
      </x:c>
      <x:c r="C17" s="3" t="str">
        <x:v>family_id</x:v>
      </x:c>
      <x:c r="D17" s="3" t="str">
        <x:v>必填</x:v>
      </x:c>
      <x:c r="E17" s="3" t="str">
        <x:v>见填写说明</x:v>
      </x:c>
      <x:c r="F17" s="3" t="str">
        <x:v>F001；同案及派生版本不得跨开发测试</x:v>
      </x:c>
    </x:row>
    <x:row r="18" ht="58" customHeight="1">
      <x:c r="A18" s="3" t="str">
        <x:v>案件</x:v>
      </x:c>
      <x:c r="B18" s="3" t="str">
        <x:v>研究簇</x:v>
      </x:c>
      <x:c r="C18" s="3" t="str">
        <x:v>cluster</x:v>
      </x:c>
      <x:c r="D18" s="3" t="str">
        <x:v>必填</x:v>
      </x:c>
      <x:c r="E18" s="3" t="str">
        <x:v>见填写说明</x:v>
      </x:c>
      <x:c r="F18" s="3" t="str">
        <x:v>帮信及邻近罪名；非最终罪名</x:v>
      </x:c>
    </x:row>
    <x:row r="19" ht="58" customHeight="1">
      <x:c r="A19" s="3" t="str">
        <x:v>案件</x:v>
      </x:c>
      <x:c r="B19" s="3" t="str">
        <x:v>材料构造类型</x:v>
      </x:c>
      <x:c r="C19" s="3" t="str">
        <x:v>material_kind</x:v>
      </x:c>
      <x:c r="D19" s="3" t="str">
        <x:v>必填</x:v>
      </x:c>
      <x:c r="E19" s="3" t="str">
        <x:v>裁判文书派生；专家审核编辑；有过程凭据的阶段材料</x:v>
      </x:c>
      <x:c r="F19" s="3" t="str">
        <x:v>按真实来源选择</x:v>
      </x:c>
    </x:row>
    <x:row r="20" ht="58" customHeight="1">
      <x:c r="A20" s="3" t="str">
        <x:v>案件</x:v>
      </x:c>
      <x:c r="B20" s="3" t="str">
        <x:v>研究权限</x:v>
      </x:c>
      <x:c r="C20" s="3" t="str">
        <x:v>rights</x:v>
      </x:c>
      <x:c r="D20" s="3" t="str">
        <x:v>必填</x:v>
      </x:c>
      <x:c r="E20" s="3" t="str">
        <x:v>待核；允许内部研究；允许公开；不允许使用</x:v>
      </x:c>
      <x:c r="F20" s="3" t="str">
        <x:v>公开可见不等于研究公开均获准</x:v>
      </x:c>
    </x:row>
    <x:row r="21" ht="58" customHeight="1">
      <x:c r="A21" s="3" t="str">
        <x:v>案件</x:v>
      </x:c>
      <x:c r="B21" s="3" t="str">
        <x:v>脱敏状态</x:v>
      </x:c>
      <x:c r="C21" s="3" t="str">
        <x:v>deidentified</x:v>
      </x:c>
      <x:c r="D21" s="3" t="str">
        <x:v>必填</x:v>
      </x:c>
      <x:c r="E21" s="3" t="str">
        <x:v>见填写说明</x:v>
      </x:c>
      <x:c r="F21" s="3" t="str">
        <x:v>未处理或已复核；匿名映射另存</x:v>
      </x:c>
    </x:row>
    <x:row r="22" ht="58" customHeight="1">
      <x:c r="A22" s="3" t="str">
        <x:v>案件</x:v>
      </x:c>
      <x:c r="B22" s="3" t="str">
        <x:v>数据拆分</x:v>
      </x:c>
      <x:c r="C22" s="3" t="str">
        <x:v>split</x:v>
      </x:c>
      <x:c r="D22" s="3" t="str">
        <x:v>必填</x:v>
      </x:c>
      <x:c r="E22" s="3" t="str">
        <x:v>未分配；开发；测试；隔离不用</x:v>
      </x:c>
      <x:c r="F22" s="3" t="str">
        <x:v>协调员按案件族分配</x:v>
      </x:c>
    </x:row>
    <x:row r="23" ht="58" customHeight="1">
      <x:c r="A23" s="3" t="str">
        <x:v>案件</x:v>
      </x:c>
      <x:c r="B23" s="3" t="str">
        <x:v>程序阶段</x:v>
      </x:c>
      <x:c r="C23" s="3" t="str">
        <x:v>procedure</x:v>
      </x:c>
      <x:c r="D23" s="3" t="str">
        <x:v>必填</x:v>
      </x:c>
      <x:c r="E23" s="3" t="str">
        <x:v>见填写说明</x:v>
      </x:c>
      <x:c r="F23" s="3" t="str">
        <x:v>侦查审查起诉一审等，记来源</x:v>
      </x:c>
    </x:row>
    <x:row r="24" ht="58" customHeight="1">
      <x:c r="A24" s="3" t="str">
        <x:v>案件</x:v>
      </x:c>
      <x:c r="B24" s="3" t="str">
        <x:v>行为期间原文</x:v>
      </x:c>
      <x:c r="C24" s="3" t="str">
        <x:v>conduct_period</x:v>
      </x:c>
      <x:c r="D24" s="3" t="str">
        <x:v>必填</x:v>
      </x:c>
      <x:c r="E24" s="3" t="str">
        <x:v>见填写说明</x:v>
      </x:c>
      <x:c r="F24" s="3" t="str">
        <x:v>不能确定则填信息不足</x:v>
      </x:c>
    </x:row>
    <x:row r="25" ht="58" customHeight="1">
      <x:c r="A25" s="3" t="str">
        <x:v>案件</x:v>
      </x:c>
      <x:c r="B25" s="3" t="str">
        <x:v>采样来源定位</x:v>
      </x:c>
      <x:c r="C25" s="3" t="str">
        <x:v>sampling_source</x:v>
      </x:c>
      <x:c r="D25" s="3" t="str">
        <x:v>必填</x:v>
      </x:c>
      <x:c r="E25" s="3" t="str">
        <x:v>见填写说明</x:v>
      </x:c>
      <x:c r="F25" s="3" t="str">
        <x:v>来源登记或受限库ID，非全文私密链接</x:v>
      </x:c>
    </x:row>
    <x:row r="26" ht="58" customHeight="1">
      <x:c r="A26" s="3" t="str">
        <x:v>案件</x:v>
      </x:c>
      <x:c r="B26" s="3" t="str">
        <x:v>关联案件ID</x:v>
      </x:c>
      <x:c r="C26" s="3" t="str">
        <x:v>related_case_ids</x:v>
      </x:c>
      <x:c r="D26" s="3" t="str">
        <x:v>条件或可选</x:v>
      </x:c>
      <x:c r="E26" s="3" t="str">
        <x:v>见填写说明</x:v>
      </x:c>
      <x:c r="F26" s="3" t="str">
        <x:v>英文分号分隔；同案审级等</x:v>
      </x:c>
    </x:row>
    <x:row r="27" ht="58" customHeight="1">
      <x:c r="A27" s="3" t="str">
        <x:v>案件</x:v>
      </x:c>
      <x:c r="B27" s="3" t="str">
        <x:v>实际裁判结果</x:v>
      </x:c>
      <x:c r="C27" s="3" t="str">
        <x:v>reported_outcome</x:v>
      </x:c>
      <x:c r="D27" s="3" t="str">
        <x:v>条件或可选</x:v>
      </x:c>
      <x:c r="E27" s="3" t="str">
        <x:v>见填写说明</x:v>
      </x:c>
      <x:c r="F27" s="3" t="str">
        <x:v>仅协调员受限填写；盲评副本删除整列值</x:v>
      </x:c>
    </x:row>
    <x:row r="28" ht="58" customHeight="1">
      <x:c r="A28" s="3" t="str">
        <x:v>案件</x:v>
      </x:c>
      <x:c r="B28" s="3" t="str">
        <x:v>入选排除理由</x:v>
      </x:c>
      <x:c r="C28" s="3" t="str">
        <x:v>selection_note</x:v>
      </x:c>
      <x:c r="D28" s="3" t="str">
        <x:v>必填</x:v>
      </x:c>
      <x:c r="E28" s="3" t="str">
        <x:v>见填写说明</x:v>
      </x:c>
      <x:c r="F28" s="3" t="str">
        <x:v>保留排除原因，不能只留简单案例</x:v>
      </x:c>
    </x:row>
    <x:row r="29" ht="58" customHeight="1">
      <x:c r="A29" s="3" t="str">
        <x:v>材料</x:v>
      </x:c>
      <x:c r="B29" s="3" t="str">
        <x:v>材料ID</x:v>
      </x:c>
      <x:c r="C29" s="3" t="str">
        <x:v>source_id</x:v>
      </x:c>
      <x:c r="D29" s="3" t="str">
        <x:v>必填</x:v>
      </x:c>
      <x:c r="E29" s="3" t="str">
        <x:v>见填写说明</x:v>
      </x:c>
      <x:c r="F29" s="3" t="str">
        <x:v>S001_v1；更正用新ID</x:v>
      </x:c>
    </x:row>
    <x:row r="30" ht="58" customHeight="1">
      <x:c r="A30" s="3" t="str">
        <x:v>材料</x:v>
      </x:c>
      <x:c r="B30" s="3" t="str">
        <x:v>案件ID</x:v>
      </x:c>
      <x:c r="C30" s="3" t="str">
        <x:v>case_id</x:v>
      </x:c>
      <x:c r="D30" s="3" t="str">
        <x:v>必填</x:v>
      </x:c>
      <x:c r="E30" s="3" t="str">
        <x:v>见填写说明</x:v>
      </x:c>
      <x:c r="F30" s="3" t="str">
        <x:v>关联案件</x:v>
      </x:c>
    </x:row>
    <x:row r="31" ht="58" customHeight="1">
      <x:c r="A31" s="3" t="str">
        <x:v>材料</x:v>
      </x:c>
      <x:c r="B31" s="3" t="str">
        <x:v>材料类型</x:v>
      </x:c>
      <x:c r="C31" s="3" t="str">
        <x:v>source_type</x:v>
      </x:c>
      <x:c r="D31" s="3" t="str">
        <x:v>必填</x:v>
      </x:c>
      <x:c r="E31" s="3" t="str">
        <x:v>见填写说明</x:v>
      </x:c>
      <x:c r="F31" s="3" t="str">
        <x:v>笔录流水聊天记录判决制度等</x:v>
      </x:c>
    </x:row>
    <x:row r="32" ht="58" customHeight="1">
      <x:c r="A32" s="3" t="str">
        <x:v>材料</x:v>
      </x:c>
      <x:c r="B32" s="3" t="str">
        <x:v>脱敏文件名</x:v>
      </x:c>
      <x:c r="C32" s="3" t="str">
        <x:v>file_name</x:v>
      </x:c>
      <x:c r="D32" s="3" t="str">
        <x:v>必填</x:v>
      </x:c>
      <x:c r="E32" s="3" t="str">
        <x:v>见填写说明</x:v>
      </x:c>
      <x:c r="F32" s="3" t="str">
        <x:v>能定位获准访问的原文件</x:v>
      </x:c>
    </x:row>
    <x:row r="33" ht="58" customHeight="1">
      <x:c r="A33" s="3" t="str">
        <x:v>材料</x:v>
      </x:c>
      <x:c r="B33" s="3" t="str">
        <x:v>文件SHA256</x:v>
      </x:c>
      <x:c r="C33" s="3" t="str">
        <x:v>sha256</x:v>
      </x:c>
      <x:c r="D33" s="3" t="str">
        <x:v>必填</x:v>
      </x:c>
      <x:c r="E33" s="3" t="str">
        <x:v>见填写说明</x:v>
      </x:c>
      <x:c r="F33" s="3" t="str">
        <x:v>完整64位摘要；不能用文件名替代</x:v>
      </x:c>
    </x:row>
    <x:row r="34" ht="58" customHeight="1">
      <x:c r="A34" s="3" t="str">
        <x:v>材料</x:v>
      </x:c>
      <x:c r="B34" s="3" t="str">
        <x:v>原始出处ID</x:v>
      </x:c>
      <x:c r="C34" s="3" t="str">
        <x:v>origin_id</x:v>
      </x:c>
      <x:c r="D34" s="3" t="str">
        <x:v>必填</x:v>
      </x:c>
      <x:c r="E34" s="3" t="str">
        <x:v>见填写说明</x:v>
      </x:c>
      <x:c r="F34" s="3" t="str">
        <x:v>转述共用原始来源ID；未知写待核</x:v>
      </x:c>
    </x:row>
    <x:row r="35" ht="58" customHeight="1">
      <x:c r="A35" s="3" t="str">
        <x:v>材料</x:v>
      </x:c>
      <x:c r="B35" s="3" t="str">
        <x:v>材料版本</x:v>
      </x:c>
      <x:c r="C35" s="3" t="str">
        <x:v>source_version</x:v>
      </x:c>
      <x:c r="D35" s="3" t="str">
        <x:v>必填</x:v>
      </x:c>
      <x:c r="E35" s="3" t="str">
        <x:v>见填写说明</x:v>
      </x:c>
      <x:c r="F35" s="3" t="str">
        <x:v>v1等</x:v>
      </x:c>
    </x:row>
    <x:row r="36" ht="58" customHeight="1">
      <x:c r="A36" s="3" t="str">
        <x:v>材料</x:v>
      </x:c>
      <x:c r="B36" s="3" t="str">
        <x:v>首次可见阶段</x:v>
      </x:c>
      <x:c r="C36" s="3" t="str">
        <x:v>first_stage</x:v>
      </x:c>
      <x:c r="D36" s="3" t="str">
        <x:v>必填</x:v>
      </x:c>
      <x:c r="E36" s="3" t="str">
        <x:v>E0；U1；U2；U3；U4；U5；FINAL</x:v>
      </x:c>
      <x:c r="F36" s="3" t="str">
        <x:v>时间序列曝光控制</x:v>
      </x:c>
    </x:row>
    <x:row r="37" ht="58" customHeight="1">
      <x:c r="A37" s="3" t="str">
        <x:v>材料</x:v>
      </x:c>
      <x:c r="B37" s="3" t="str">
        <x:v>成文时间原文</x:v>
      </x:c>
      <x:c r="C37" s="3" t="str">
        <x:v>document_time</x:v>
      </x:c>
      <x:c r="D37" s="3" t="str">
        <x:v>必填</x:v>
      </x:c>
      <x:c r="E37" s="3" t="str">
        <x:v>见填写说明</x:v>
      </x:c>
      <x:c r="F37" s="3" t="str">
        <x:v>未知明确写信息不足</x:v>
      </x:c>
    </x:row>
    <x:row r="38" ht="58" customHeight="1">
      <x:c r="A38" s="3" t="str">
        <x:v>材料</x:v>
      </x:c>
      <x:c r="B38" s="3" t="str">
        <x:v>收集时间原文</x:v>
      </x:c>
      <x:c r="C38" s="3" t="str">
        <x:v>received_time</x:v>
      </x:c>
      <x:c r="D38" s="3" t="str">
        <x:v>条件或可选</x:v>
      </x:c>
      <x:c r="E38" s="3" t="str">
        <x:v>见填写说明</x:v>
      </x:c>
      <x:c r="F38" s="3" t="str">
        <x:v>与行为时间和系统接收时间分开</x:v>
      </x:c>
    </x:row>
    <x:row r="39" ht="58" customHeight="1">
      <x:c r="A39" s="3" t="str">
        <x:v>材料</x:v>
      </x:c>
      <x:c r="B39" s="3" t="str">
        <x:v>来源状态</x:v>
      </x:c>
      <x:c r="C39" s="3" t="str">
        <x:v>source_status</x:v>
      </x:c>
      <x:c r="D39" s="3" t="str">
        <x:v>必填</x:v>
      </x:c>
      <x:c r="E39" s="3" t="str">
        <x:v>见填写说明</x:v>
      </x:c>
      <x:c r="F39" s="3" t="str">
        <x:v>有效更正撤回冲突；不等于司法排除</x:v>
      </x:c>
    </x:row>
    <x:row r="40" ht="58" customHeight="1">
      <x:c r="A40" s="3" t="str">
        <x:v>材料</x:v>
      </x:c>
      <x:c r="B40" s="3" t="str">
        <x:v>替代材料ID</x:v>
      </x:c>
      <x:c r="C40" s="3" t="str">
        <x:v>supersedes_source_id</x:v>
      </x:c>
      <x:c r="D40" s="3" t="str">
        <x:v>条件或可选</x:v>
      </x:c>
      <x:c r="E40" s="3" t="str">
        <x:v>见填写说明</x:v>
      </x:c>
      <x:c r="F40" s="3" t="str">
        <x:v>只在明确更正时填旧ID</x:v>
      </x:c>
    </x:row>
    <x:row r="41" ht="58" customHeight="1">
      <x:c r="A41" s="3" t="str">
        <x:v>材料</x:v>
      </x:c>
      <x:c r="B41" s="3" t="str">
        <x:v>替代范围</x:v>
      </x:c>
      <x:c r="C41" s="3" t="str">
        <x:v>supersedes_scope</x:v>
      </x:c>
      <x:c r="D41" s="3" t="str">
        <x:v>条件或可选</x:v>
      </x:c>
      <x:c r="E41" s="3" t="str">
        <x:v>见填写说明</x:v>
      </x:c>
      <x:c r="F41" s="3" t="str">
        <x:v>具体页句字段；不得默认全文覆盖</x:v>
      </x:c>
    </x:row>
    <x:row r="42" ht="58" customHeight="1">
      <x:c r="A42" s="3" t="str">
        <x:v>材料</x:v>
      </x:c>
      <x:c r="B42" s="3" t="str">
        <x:v>解析方式版本</x:v>
      </x:c>
      <x:c r="C42" s="3" t="str">
        <x:v>parser_version</x:v>
      </x:c>
      <x:c r="D42" s="3" t="str">
        <x:v>必填</x:v>
      </x:c>
      <x:c r="E42" s="3" t="str">
        <x:v>见填写说明</x:v>
      </x:c>
      <x:c r="F42" s="3" t="str">
        <x:v>人工或OCR解析器型号版本</x:v>
      </x:c>
    </x:row>
    <x:row r="43" ht="58" customHeight="1">
      <x:c r="A43" s="3" t="str">
        <x:v>材料</x:v>
      </x:c>
      <x:c r="B43" s="3" t="str">
        <x:v>核验状态</x:v>
      </x:c>
      <x:c r="C43" s="3" t="str">
        <x:v>verification</x:v>
      </x:c>
      <x:c r="D43" s="3" t="str">
        <x:v>必填</x:v>
      </x:c>
      <x:c r="E43" s="3" t="str">
        <x:v>未核验；已对照原文；存在争议；无法核验</x:v>
      </x:c>
      <x:c r="F43" s="3" t="str">
        <x:v>核验文本转录，不代表内容属实</x:v>
      </x:c>
    </x:row>
    <x:row r="44" ht="58" customHeight="1">
      <x:c r="A44" s="3" t="str">
        <x:v>材料</x:v>
      </x:c>
      <x:c r="B44" s="3" t="str">
        <x:v>访问范围</x:v>
      </x:c>
      <x:c r="C44" s="3" t="str">
        <x:v>access_scope</x:v>
      </x:c>
      <x:c r="D44" s="3" t="str">
        <x:v>必填</x:v>
      </x:c>
      <x:c r="E44" s="3" t="str">
        <x:v>见填写说明</x:v>
      </x:c>
      <x:c r="F44" s="3" t="str">
        <x:v>研究内部或获准公开等</x:v>
      </x:c>
    </x:row>
    <x:row r="45" ht="58" customHeight="1">
      <x:c r="A45" s="3" t="str">
        <x:v>证据片段</x:v>
      </x:c>
      <x:c r="B45" s="3" t="str">
        <x:v>片段ID</x:v>
      </x:c>
      <x:c r="C45" s="3" t="str">
        <x:v>span_id</x:v>
      </x:c>
      <x:c r="D45" s="3" t="str">
        <x:v>必填</x:v>
      </x:c>
      <x:c r="E45" s="3" t="str">
        <x:v>见填写说明</x:v>
      </x:c>
      <x:c r="F45" s="3" t="str">
        <x:v>X001；原文与解释分别列</x:v>
      </x:c>
    </x:row>
    <x:row r="46" ht="58" customHeight="1">
      <x:c r="A46" s="3" t="str">
        <x:v>证据片段</x:v>
      </x:c>
      <x:c r="B46" s="3" t="str">
        <x:v>任务ID</x:v>
      </x:c>
      <x:c r="C46" s="3" t="str">
        <x:v>task_id</x:v>
      </x:c>
      <x:c r="D46" s="3" t="str">
        <x:v>必填</x:v>
      </x:c>
      <x:c r="E46" s="3" t="str">
        <x:v>见填写说明</x:v>
      </x:c>
      <x:c r="F46" s="3" t="str">
        <x:v>关联任务</x:v>
      </x:c>
    </x:row>
    <x:row r="47" ht="58" customHeight="1">
      <x:c r="A47" s="3" t="str">
        <x:v>证据片段</x:v>
      </x:c>
      <x:c r="B47" s="3" t="str">
        <x:v>材料ID</x:v>
      </x:c>
      <x:c r="C47" s="3" t="str">
        <x:v>source_id</x:v>
      </x:c>
      <x:c r="D47" s="3" t="str">
        <x:v>必填</x:v>
      </x:c>
      <x:c r="E47" s="3" t="str">
        <x:v>见填写说明</x:v>
      </x:c>
      <x:c r="F47" s="3" t="str">
        <x:v>关联不可覆盖材料版本</x:v>
      </x:c>
    </x:row>
    <x:row r="48" ht="58" customHeight="1">
      <x:c r="A48" s="3" t="str">
        <x:v>证据片段</x:v>
      </x:c>
      <x:c r="B48" s="3" t="str">
        <x:v>定位</x:v>
      </x:c>
      <x:c r="C48" s="3" t="str">
        <x:v>locator</x:v>
      </x:c>
      <x:c r="D48" s="3" t="str">
        <x:v>必填</x:v>
      </x:c>
      <x:c r="E48" s="3" t="str">
        <x:v>见填写说明</x:v>
      </x:c>
      <x:c r="F48" s="3" t="str">
        <x:v>PDF物理页段句；表格表名行列；图片区域</x:v>
      </x:c>
    </x:row>
    <x:row r="49" ht="58" customHeight="1">
      <x:c r="A49" s="3" t="str">
        <x:v>证据片段</x:v>
      </x:c>
      <x:c r="B49" s="3" t="str">
        <x:v>脱敏原文</x:v>
      </x:c>
      <x:c r="C49" s="3" t="str">
        <x:v>quote</x:v>
      </x:c>
      <x:c r="D49" s="3" t="str">
        <x:v>必填</x:v>
      </x:c>
      <x:c r="E49" s="3" t="str">
        <x:v>见填写说明</x:v>
      </x:c>
      <x:c r="F49" s="3" t="str">
        <x:v>保留否定条件和指代；不能改写成概括</x:v>
      </x:c>
    </x:row>
    <x:row r="50" ht="58" customHeight="1">
      <x:c r="A50" s="3" t="str">
        <x:v>证据片段</x:v>
      </x:c>
      <x:c r="B50" s="3" t="str">
        <x:v>陈述人ID</x:v>
      </x:c>
      <x:c r="C50" s="3" t="str">
        <x:v>speaker_id</x:v>
      </x:c>
      <x:c r="D50" s="3" t="str">
        <x:v>必填</x:v>
      </x:c>
      <x:c r="E50" s="3" t="str">
        <x:v>见填写说明</x:v>
      </x:c>
      <x:c r="F50" s="3" t="str">
        <x:v>实体ID；不明写UNKNOWN；不等于被归责人</x:v>
      </x:c>
    </x:row>
    <x:row r="51" ht="58" customHeight="1">
      <x:c r="A51" s="3" t="str">
        <x:v>证据片段</x:v>
      </x:c>
      <x:c r="B51" s="3" t="str">
        <x:v>陈述时间原文</x:v>
      </x:c>
      <x:c r="C51" s="3" t="str">
        <x:v>statement_time</x:v>
      </x:c>
      <x:c r="D51" s="3" t="str">
        <x:v>必填</x:v>
      </x:c>
      <x:c r="E51" s="3" t="str">
        <x:v>见填写说明</x:v>
      </x:c>
      <x:c r="F51" s="3" t="str">
        <x:v>不明写信息不足</x:v>
      </x:c>
    </x:row>
    <x:row r="52" ht="58" customHeight="1">
      <x:c r="A52" s="3" t="str">
        <x:v>证据片段</x:v>
      </x:c>
      <x:c r="B52" s="3" t="str">
        <x:v>记载层次</x:v>
      </x:c>
      <x:c r="C52" s="3" t="str">
        <x:v>claim_level</x:v>
      </x:c>
      <x:c r="D52" s="3" t="str">
        <x:v>必填</x:v>
      </x:c>
      <x:c r="E52" s="3" t="str">
        <x:v>原文记载；法院认定；标注者评价</x:v>
      </x:c>
      <x:c r="F52" s="3" t="str">
        <x:v>区别材料记载法院采信与评价</x:v>
      </x:c>
    </x:row>
    <x:row r="53" ht="58" customHeight="1">
      <x:c r="A53" s="3" t="str">
        <x:v>证据片段</x:v>
      </x:c>
      <x:c r="B53" s="3" t="str">
        <x:v>事实概括</x:v>
      </x:c>
      <x:c r="C53" s="3" t="str">
        <x:v>fact_text</x:v>
      </x:c>
      <x:c r="D53" s="3" t="str">
        <x:v>必填</x:v>
      </x:c>
      <x:c r="E53" s="3" t="str">
        <x:v>见填写说明</x:v>
      </x:c>
      <x:c r="F53" s="3" t="str">
        <x:v>一句可判断命题；保留据称等限定</x:v>
      </x:c>
    </x:row>
    <x:row r="54" ht="58" customHeight="1">
      <x:c r="A54" s="3" t="str">
        <x:v>证据片段</x:v>
      </x:c>
      <x:c r="B54" s="3" t="str">
        <x:v>转录核验</x:v>
      </x:c>
      <x:c r="C54" s="3" t="str">
        <x:v>transcription_check</x:v>
      </x:c>
      <x:c r="D54" s="3" t="str">
        <x:v>必填</x:v>
      </x:c>
      <x:c r="E54" s="3" t="str">
        <x:v>未核验；已对照原文；存在争议；无法核验</x:v>
      </x:c>
      <x:c r="F54" s="3" t="str">
        <x:v>对照OCR原图；有争议不得静默修正</x:v>
      </x:c>
    </x:row>
    <x:row r="55" ht="58" customHeight="1">
      <x:c r="A55" s="3" t="str">
        <x:v>证据片段</x:v>
      </x:c>
      <x:c r="B55" s="3" t="str">
        <x:v>真实性争点</x:v>
      </x:c>
      <x:c r="C55" s="3" t="str">
        <x:v>authenticity_note</x:v>
      </x:c>
      <x:c r="D55" s="3" t="str">
        <x:v>条件或可选</x:v>
      </x:c>
      <x:c r="E55" s="3" t="str">
        <x:v>见填写说明</x:v>
      </x:c>
      <x:c r="F55" s="3" t="str">
        <x:v>内容真实性与转录正确不同</x:v>
      </x:c>
    </x:row>
    <x:row r="56" ht="58" customHeight="1">
      <x:c r="A56" s="3" t="str">
        <x:v>证据片段</x:v>
      </x:c>
      <x:c r="B56" s="3" t="str">
        <x:v>缺失上下文</x:v>
      </x:c>
      <x:c r="C56" s="3" t="str">
        <x:v>missing_context</x:v>
      </x:c>
      <x:c r="D56" s="3" t="str">
        <x:v>条件或可选</x:v>
      </x:c>
      <x:c r="E56" s="3" t="str">
        <x:v>见填写说明</x:v>
      </x:c>
      <x:c r="F56" s="3" t="str">
        <x:v>缺页删节指代不明等</x:v>
      </x:c>
    </x:row>
    <x:row r="57" ht="58" customHeight="1">
      <x:c r="A57" s="3" t="str">
        <x:v>实体</x:v>
      </x:c>
      <x:c r="B57" s="3" t="str">
        <x:v>实体ID</x:v>
      </x:c>
      <x:c r="C57" s="3" t="str">
        <x:v>entity_id</x:v>
      </x:c>
      <x:c r="D57" s="3" t="str">
        <x:v>必填</x:v>
      </x:c>
      <x:c r="E57" s="3" t="str">
        <x:v>见填写说明</x:v>
      </x:c>
      <x:c r="F57" s="3" t="str">
        <x:v>P自然人O单位AC账户D设备L地点等</x:v>
      </x:c>
    </x:row>
    <x:row r="58" ht="58" customHeight="1">
      <x:c r="A58" s="3" t="str">
        <x:v>实体</x:v>
      </x:c>
      <x:c r="B58" s="3" t="str">
        <x:v>案件ID</x:v>
      </x:c>
      <x:c r="C58" s="3" t="str">
        <x:v>case_id</x:v>
      </x:c>
      <x:c r="D58" s="3" t="str">
        <x:v>必填</x:v>
      </x:c>
      <x:c r="E58" s="3" t="str">
        <x:v>见填写说明</x:v>
      </x:c>
      <x:c r="F58" s="3" t="str">
        <x:v>关联案件</x:v>
      </x:c>
    </x:row>
    <x:row r="59" ht="58" customHeight="1">
      <x:c r="A59" s="3" t="str">
        <x:v>实体</x:v>
      </x:c>
      <x:c r="B59" s="3" t="str">
        <x:v>实体类型</x:v>
      </x:c>
      <x:c r="C59" s="3" t="str">
        <x:v>entity_type</x:v>
      </x:c>
      <x:c r="D59" s="3" t="str">
        <x:v>必填</x:v>
      </x:c>
      <x:c r="E59" s="3" t="str">
        <x:v>自然人；单位；组织；银行账户；支付账户；通信账号；设备；资金批次；地点；其他</x:v>
      </x:c>
      <x:c r="F59" s="3" t="str">
        <x:v>单位与自然人分开</x:v>
      </x:c>
    </x:row>
    <x:row r="60" ht="58" customHeight="1">
      <x:c r="A60" s="3" t="str">
        <x:v>实体</x:v>
      </x:c>
      <x:c r="B60" s="3" t="str">
        <x:v>脱敏代称</x:v>
      </x:c>
      <x:c r="C60" s="3" t="str">
        <x:v>alias</x:v>
      </x:c>
      <x:c r="D60" s="3" t="str">
        <x:v>必填</x:v>
      </x:c>
      <x:c r="E60" s="3" t="str">
        <x:v>见填写说明</x:v>
      </x:c>
      <x:c r="F60" s="3" t="str">
        <x:v>稳定代号不保留身份证或账号尾号</x:v>
      </x:c>
    </x:row>
    <x:row r="61" ht="58" customHeight="1">
      <x:c r="A61" s="3" t="str">
        <x:v>实体</x:v>
      </x:c>
      <x:c r="B61" s="3" t="str">
        <x:v>来源片段ID</x:v>
      </x:c>
      <x:c r="C61" s="3" t="str">
        <x:v>span_ids</x:v>
      </x:c>
      <x:c r="D61" s="3" t="str">
        <x:v>必填</x:v>
      </x:c>
      <x:c r="E61" s="3" t="str">
        <x:v>见填写说明</x:v>
      </x:c>
      <x:c r="F61" s="3" t="str">
        <x:v>英文分号分隔</x:v>
      </x:c>
    </x:row>
    <x:row r="62" ht="58" customHeight="1">
      <x:c r="A62" s="3" t="str">
        <x:v>实体</x:v>
      </x:c>
      <x:c r="B62" s="3" t="str">
        <x:v>身份属性原文</x:v>
      </x:c>
      <x:c r="C62" s="3" t="str">
        <x:v>attributes</x:v>
      </x:c>
      <x:c r="D62" s="3" t="str">
        <x:v>条件或可选</x:v>
      </x:c>
      <x:c r="E62" s="3" t="str">
        <x:v>见填写说明</x:v>
      </x:c>
      <x:c r="F62" s="3" t="str">
        <x:v>国籍年龄岗位等，仅必要属性</x:v>
      </x:c>
    </x:row>
    <x:row r="63" ht="58" customHeight="1">
      <x:c r="A63" s="3" t="str">
        <x:v>实体</x:v>
      </x:c>
      <x:c r="B63" s="3" t="str">
        <x:v>存疑身份关联</x:v>
      </x:c>
      <x:c r="C63" s="3" t="str">
        <x:v>identity_uncertainty</x:v>
      </x:c>
      <x:c r="D63" s="3" t="str">
        <x:v>条件或可选</x:v>
      </x:c>
      <x:c r="E63" s="3" t="str">
        <x:v>见填写说明</x:v>
      </x:c>
      <x:c r="F63" s="3" t="str">
        <x:v>同名同设备不直接合并</x:v>
      </x:c>
    </x:row>
    <x:row r="64" ht="58" customHeight="1">
      <x:c r="A64" s="3" t="str">
        <x:v>实体</x:v>
      </x:c>
      <x:c r="B64" s="3" t="str">
        <x:v>敏感级别</x:v>
      </x:c>
      <x:c r="C64" s="3" t="str">
        <x:v>sensitivity</x:v>
      </x:c>
      <x:c r="D64" s="3" t="str">
        <x:v>必填</x:v>
      </x:c>
      <x:c r="E64" s="3" t="str">
        <x:v>见填写说明</x:v>
      </x:c>
      <x:c r="F64" s="3" t="str">
        <x:v>公开内部敏感高度敏感</x:v>
      </x:c>
    </x:row>
    <x:row r="65" ht="58" customHeight="1">
      <x:c r="A65" s="3" t="str">
        <x:v>事件</x:v>
      </x:c>
      <x:c r="B65" s="3" t="str">
        <x:v>事件ID</x:v>
      </x:c>
      <x:c r="C65" s="3" t="str">
        <x:v>event_id</x:v>
      </x:c>
      <x:c r="D65" s="3" t="str">
        <x:v>必填</x:v>
      </x:c>
      <x:c r="E65" s="3" t="str">
        <x:v>见填写说明</x:v>
      </x:c>
      <x:c r="F65" s="3" t="str">
        <x:v>EV001；共同参与者在关系表逐条连接</x:v>
      </x:c>
    </x:row>
    <x:row r="66" ht="58" customHeight="1">
      <x:c r="A66" s="3" t="str">
        <x:v>事件</x:v>
      </x:c>
      <x:c r="B66" s="3" t="str">
        <x:v>任务ID</x:v>
      </x:c>
      <x:c r="C66" s="3" t="str">
        <x:v>task_id</x:v>
      </x:c>
      <x:c r="D66" s="3" t="str">
        <x:v>必填</x:v>
      </x:c>
      <x:c r="E66" s="3" t="str">
        <x:v>见填写说明</x:v>
      </x:c>
      <x:c r="F66" s="3" t="str">
        <x:v>关联任务</x:v>
      </x:c>
    </x:row>
    <x:row r="67" ht="58" customHeight="1">
      <x:c r="A67" s="3" t="str">
        <x:v>事件</x:v>
      </x:c>
      <x:c r="B67" s="3" t="str">
        <x:v>事件类型</x:v>
      </x:c>
      <x:c r="C67" s="3" t="str">
        <x:v>event_type</x:v>
      </x:c>
      <x:c r="D67" s="3" t="str">
        <x:v>必填</x:v>
      </x:c>
      <x:c r="E67" s="3" t="str">
        <x:v>账户提供；技术支持；广告引流；诈骗沟通；指令传递；被害人处分财产；资金入账；资金中转；提现；换汇；虚拟资产转换；跨境转移；风险预警；告知接收；整改停止；其他</x:v>
      </x:c>
      <x:c r="F67" s="3" t="str">
        <x:v>可按事实分解不预设犯罪</x:v>
      </x:c>
    </x:row>
    <x:row r="68" ht="58" customHeight="1">
      <x:c r="A68" s="3" t="str">
        <x:v>事件</x:v>
      </x:c>
      <x:c r="B68" s="3" t="str">
        <x:v>主要行为人ID</x:v>
      </x:c>
      <x:c r="C68" s="3" t="str">
        <x:v>actor_id</x:v>
      </x:c>
      <x:c r="D68" s="3" t="str">
        <x:v>必填</x:v>
      </x:c>
      <x:c r="E68" s="3" t="str">
        <x:v>见填写说明</x:v>
      </x:c>
      <x:c r="F68" s="3" t="str">
        <x:v>P001或UNKNOWN；名义持卡不等于操作</x:v>
      </x:c>
    </x:row>
    <x:row r="69" ht="58" customHeight="1">
      <x:c r="A69" s="3" t="str">
        <x:v>事件</x:v>
      </x:c>
      <x:c r="B69" s="3" t="str">
        <x:v>行为描述</x:v>
      </x:c>
      <x:c r="C69" s="3" t="str">
        <x:v>action</x:v>
      </x:c>
      <x:c r="D69" s="3" t="str">
        <x:v>必填</x:v>
      </x:c>
      <x:c r="E69" s="3" t="str">
        <x:v>见填写说明</x:v>
      </x:c>
      <x:c r="F69" s="3" t="str">
        <x:v>客观动作，不把明知共犯写成事实</x:v>
      </x:c>
    </x:row>
    <x:row r="70" ht="58" customHeight="1">
      <x:c r="A70" s="3" t="str">
        <x:v>事件</x:v>
      </x:c>
      <x:c r="B70" s="3" t="str">
        <x:v>对象ID</x:v>
      </x:c>
      <x:c r="C70" s="3" t="str">
        <x:v>object_id</x:v>
      </x:c>
      <x:c r="D70" s="3" t="str">
        <x:v>必填</x:v>
      </x:c>
      <x:c r="E70" s="3" t="str">
        <x:v>见填写说明</x:v>
      </x:c>
      <x:c r="F70" s="3" t="str">
        <x:v>实体表账户资金等ID；未知写UNKNOWN</x:v>
      </x:c>
    </x:row>
    <x:row r="71" ht="58" customHeight="1">
      <x:c r="A71" s="3" t="str">
        <x:v>事件</x:v>
      </x:c>
      <x:c r="B71" s="3" t="str">
        <x:v>开始时间原文</x:v>
      </x:c>
      <x:c r="C71" s="3" t="str">
        <x:v>start_time</x:v>
      </x:c>
      <x:c r="D71" s="3" t="str">
        <x:v>必填</x:v>
      </x:c>
      <x:c r="E71" s="3" t="str">
        <x:v>见填写说明</x:v>
      </x:c>
      <x:c r="F71" s="3" t="str">
        <x:v>不明写信息不足；不要填材料成文时间</x:v>
      </x:c>
    </x:row>
    <x:row r="72" ht="58" customHeight="1">
      <x:c r="A72" s="3" t="str">
        <x:v>事件</x:v>
      </x:c>
      <x:c r="B72" s="3" t="str">
        <x:v>结束时间原文</x:v>
      </x:c>
      <x:c r="C72" s="3" t="str">
        <x:v>end_time</x:v>
      </x:c>
      <x:c r="D72" s="3" t="str">
        <x:v>条件或可选</x:v>
      </x:c>
      <x:c r="E72" s="3" t="str">
        <x:v>见填写说明</x:v>
      </x:c>
      <x:c r="F72" s="3" t="str">
        <x:v>区间末端；单点可与开始相同</x:v>
      </x:c>
    </x:row>
    <x:row r="73" ht="58" customHeight="1">
      <x:c r="A73" s="3" t="str">
        <x:v>事件</x:v>
      </x:c>
      <x:c r="B73" s="3" t="str">
        <x:v>时间精度时区</x:v>
      </x:c>
      <x:c r="C73" s="3" t="str">
        <x:v>time_precision_zone</x:v>
      </x:c>
      <x:c r="D73" s="3" t="str">
        <x:v>必填</x:v>
      </x:c>
      <x:c r="E73" s="3" t="str">
        <x:v>见填写说明</x:v>
      </x:c>
      <x:c r="F73" s="3" t="str">
        <x:v>精确到分钟日月或相对先后；境外注明时区</x:v>
      </x:c>
    </x:row>
    <x:row r="74" ht="58" customHeight="1">
      <x:c r="A74" s="3" t="str">
        <x:v>事件</x:v>
      </x:c>
      <x:c r="B74" s="3" t="str">
        <x:v>地点ID</x:v>
      </x:c>
      <x:c r="C74" s="3" t="str">
        <x:v>location_id</x:v>
      </x:c>
      <x:c r="D74" s="3" t="str">
        <x:v>必填</x:v>
      </x:c>
      <x:c r="E74" s="3" t="str">
        <x:v>见填写说明</x:v>
      </x:c>
      <x:c r="F74" s="3" t="str">
        <x:v>实体表地点或UNKNOWN</x:v>
      </x:c>
    </x:row>
    <x:row r="75" ht="58" customHeight="1">
      <x:c r="A75" s="3" t="str">
        <x:v>事件</x:v>
      </x:c>
      <x:c r="B75" s="3" t="str">
        <x:v>来源片段ID</x:v>
      </x:c>
      <x:c r="C75" s="3" t="str">
        <x:v>span_ids</x:v>
      </x:c>
      <x:c r="D75" s="3" t="str">
        <x:v>必填</x:v>
      </x:c>
      <x:c r="E75" s="3" t="str">
        <x:v>见填写说明</x:v>
      </x:c>
      <x:c r="F75" s="3" t="str">
        <x:v>英文分号分隔</x:v>
      </x:c>
    </x:row>
    <x:row r="76" ht="58" customHeight="1">
      <x:c r="A76" s="3" t="str">
        <x:v>事件</x:v>
      </x:c>
      <x:c r="B76" s="3" t="str">
        <x:v>事实支持状态</x:v>
      </x:c>
      <x:c r="C76" s="3" t="str">
        <x:v>fact_state</x:v>
      </x:c>
      <x:c r="D76" s="3" t="str">
        <x:v>必填</x:v>
      </x:c>
      <x:c r="E76" s="3" t="str">
        <x:v>材料支持；材料反对；存在冲突；信息不足；不适用</x:v>
      </x:c>
      <x:c r="F76" s="3" t="str">
        <x:v>材料内支持状态</x:v>
      </x:c>
    </x:row>
    <x:row r="77" ht="58" customHeight="1">
      <x:c r="A77" s="3" t="str">
        <x:v>事件</x:v>
      </x:c>
      <x:c r="B77" s="3" t="str">
        <x:v>缺失冲突说明</x:v>
      </x:c>
      <x:c r="C77" s="3" t="str">
        <x:v>uncertainty</x:v>
      </x:c>
      <x:c r="D77" s="3" t="str">
        <x:v>条件或可选</x:v>
      </x:c>
      <x:c r="E77" s="3" t="str">
        <x:v>见填写说明</x:v>
      </x:c>
      <x:c r="F77" s="3" t="str">
        <x:v>明确缺失的先后关系</x:v>
      </x:c>
    </x:row>
    <x:row r="78" ht="58" customHeight="1">
      <x:c r="A78" s="3" t="str">
        <x:v>关系</x:v>
      </x:c>
      <x:c r="B78" s="3" t="str">
        <x:v>关系ID</x:v>
      </x:c>
      <x:c r="C78" s="3" t="str">
        <x:v>relation_id</x:v>
      </x:c>
      <x:c r="D78" s="3" t="str">
        <x:v>必填</x:v>
      </x:c>
      <x:c r="E78" s="3" t="str">
        <x:v>见填写说明</x:v>
      </x:c>
      <x:c r="F78" s="3" t="str">
        <x:v>REL001</x:v>
      </x:c>
    </x:row>
    <x:row r="79" ht="58" customHeight="1">
      <x:c r="A79" s="3" t="str">
        <x:v>关系</x:v>
      </x:c>
      <x:c r="B79" s="3" t="str">
        <x:v>任务ID</x:v>
      </x:c>
      <x:c r="C79" s="3" t="str">
        <x:v>task_id</x:v>
      </x:c>
      <x:c r="D79" s="3" t="str">
        <x:v>必填</x:v>
      </x:c>
      <x:c r="E79" s="3" t="str">
        <x:v>见填写说明</x:v>
      </x:c>
      <x:c r="F79" s="3" t="str">
        <x:v>关联任务</x:v>
      </x:c>
    </x:row>
    <x:row r="80" ht="58" customHeight="1">
      <x:c r="A80" s="3" t="str">
        <x:v>关系</x:v>
      </x:c>
      <x:c r="B80" s="3" t="str">
        <x:v>起点类型</x:v>
      </x:c>
      <x:c r="C80" s="3" t="str">
        <x:v>from_type</x:v>
      </x:c>
      <x:c r="D80" s="3" t="str">
        <x:v>必填</x:v>
      </x:c>
      <x:c r="E80" s="3" t="str">
        <x:v>材料；片段；实体；事件；要件；论证；金额；更新；扩展</x:v>
      </x:c>
      <x:c r="F80" s="3" t="str">
        <x:v>ID所对应对象表</x:v>
      </x:c>
    </x:row>
    <x:row r="81" ht="58" customHeight="1">
      <x:c r="A81" s="3" t="str">
        <x:v>关系</x:v>
      </x:c>
      <x:c r="B81" s="3" t="str">
        <x:v>起点ID</x:v>
      </x:c>
      <x:c r="C81" s="3" t="str">
        <x:v>from_id</x:v>
      </x:c>
      <x:c r="D81" s="3" t="str">
        <x:v>必填</x:v>
      </x:c>
      <x:c r="E81" s="3" t="str">
        <x:v>见填写说明</x:v>
      </x:c>
      <x:c r="F81" s="3" t="str">
        <x:v>不能使用不存在的对象</x:v>
      </x:c>
    </x:row>
    <x:row r="82" ht="58" customHeight="1">
      <x:c r="A82" s="3" t="str">
        <x:v>关系</x:v>
      </x:c>
      <x:c r="B82" s="3" t="str">
        <x:v>关系作用</x:v>
      </x:c>
      <x:c r="C82" s="3" t="str">
        <x:v>role</x:v>
      </x:c>
      <x:c r="D82" s="3" t="str">
        <x:v>必填</x:v>
      </x:c>
      <x:c r="E82" s="3" t="str">
        <x:v>实施；指令；协助；接收；持有；实际控制；操作；支持；挑战；回应；撤回更正；保持见证；同源转述；派生依赖；其他</x:v>
      </x:c>
      <x:c r="F82" s="3" t="str">
        <x:v>支持挑战回应更正保持等；一行一种作用</x:v>
      </x:c>
    </x:row>
    <x:row r="83" ht="58" customHeight="1">
      <x:c r="A83" s="3" t="str">
        <x:v>关系</x:v>
      </x:c>
      <x:c r="B83" s="3" t="str">
        <x:v>终点类型</x:v>
      </x:c>
      <x:c r="C83" s="3" t="str">
        <x:v>to_type</x:v>
      </x:c>
      <x:c r="D83" s="3" t="str">
        <x:v>必填</x:v>
      </x:c>
      <x:c r="E83" s="3" t="str">
        <x:v>材料；片段；实体；事件；要件；论证；金额；更新；扩展</x:v>
      </x:c>
      <x:c r="F83" s="3" t="str">
        <x:v>来源依赖：派生材料指向原始材料</x:v>
      </x:c>
    </x:row>
    <x:row r="84" ht="58" customHeight="1">
      <x:c r="A84" s="3" t="str">
        <x:v>关系</x:v>
      </x:c>
      <x:c r="B84" s="3" t="str">
        <x:v>终点ID</x:v>
      </x:c>
      <x:c r="C84" s="3" t="str">
        <x:v>to_id</x:v>
      </x:c>
      <x:c r="D84" s="3" t="str">
        <x:v>必填</x:v>
      </x:c>
      <x:c r="E84" s="3" t="str">
        <x:v>见填写说明</x:v>
      </x:c>
      <x:c r="F84" s="3" t="str">
        <x:v>G评测通常指向论证ID</x:v>
      </x:c>
    </x:row>
    <x:row r="85" ht="58" customHeight="1">
      <x:c r="A85" s="3" t="str">
        <x:v>关系</x:v>
      </x:c>
      <x:c r="B85" s="3" t="str">
        <x:v>靶点或CQ</x:v>
      </x:c>
      <x:c r="C85" s="3" t="str">
        <x:v>cq_target</x:v>
      </x:c>
      <x:c r="D85" s="3" t="str">
        <x:v>必填</x:v>
      </x:c>
      <x:c r="E85" s="3" t="str">
        <x:v>CQ01主体归属；CQ02时间先后；CQ03认识对象；CQ04来源可靠性；CQ05共同来源；CQ06正常业务解释；CQ07推断关联；CQ08资金形成及口径；CQ09共同分工；CQ10规范前提；CQ11证明责任；CQ12范围传播；不适用</x:v>
      </x:c>
      <x:c r="F85" s="3" t="str">
        <x:v>挑战何处；无CQ选不适用</x:v>
      </x:c>
    </x:row>
    <x:row r="86" ht="58" customHeight="1">
      <x:c r="A86" s="3" t="str">
        <x:v>关系</x:v>
      </x:c>
      <x:c r="B86" s="3" t="str">
        <x:v>来源片段ID</x:v>
      </x:c>
      <x:c r="C86" s="3" t="str">
        <x:v>span_ids</x:v>
      </x:c>
      <x:c r="D86" s="3" t="str">
        <x:v>必填</x:v>
      </x:c>
      <x:c r="E86" s="3" t="str">
        <x:v>见填写说明</x:v>
      </x:c>
      <x:c r="F86" s="3" t="str">
        <x:v>英文分号分隔；禁止无源边</x:v>
      </x:c>
    </x:row>
    <x:row r="87" ht="58" customHeight="1">
      <x:c r="A87" s="3" t="str">
        <x:v>关系</x:v>
      </x:c>
      <x:c r="B87" s="3" t="str">
        <x:v>有效时间或阶段</x:v>
      </x:c>
      <x:c r="C87" s="3" t="str">
        <x:v>valid_at</x:v>
      </x:c>
      <x:c r="D87" s="3" t="str">
        <x:v>必填</x:v>
      </x:c>
      <x:c r="E87" s="3" t="str">
        <x:v>见填写说明</x:v>
      </x:c>
      <x:c r="F87" s="3" t="str">
        <x:v>指出关系的适用期间</x:v>
      </x:c>
    </x:row>
    <x:row r="88" ht="58" customHeight="1">
      <x:c r="A88" s="3" t="str">
        <x:v>关系</x:v>
      </x:c>
      <x:c r="B88" s="3" t="str">
        <x:v>作用说明</x:v>
      </x:c>
      <x:c r="C88" s="3" t="str">
        <x:v>rationale</x:v>
      </x:c>
      <x:c r="D88" s="3" t="str">
        <x:v>必填</x:v>
      </x:c>
      <x:c r="E88" s="3" t="str">
        <x:v>见填写说明</x:v>
      </x:c>
      <x:c r="F88" s="3" t="str">
        <x:v>为什么该关系能支持挑战或传播</x:v>
      </x:c>
    </x:row>
    <x:row r="89" ht="58" customHeight="1">
      <x:c r="A89" s="3" t="str">
        <x:v>关系</x:v>
      </x:c>
      <x:c r="B89" s="3" t="str">
        <x:v>关系状态</x:v>
      </x:c>
      <x:c r="C89" s="3" t="str">
        <x:v>relation_state</x:v>
      </x:c>
      <x:c r="D89" s="3" t="str">
        <x:v>必填</x:v>
      </x:c>
      <x:c r="E89" s="3" t="str">
        <x:v>见填写说明</x:v>
      </x:c>
      <x:c r="F89" s="3" t="str">
        <x:v>有效待核失效；仅说明研究使用状态</x:v>
      </x:c>
    </x:row>
    <x:row r="90" ht="58" customHeight="1">
      <x:c r="A90" s="3" t="str">
        <x:v>金额</x:v>
      </x:c>
      <x:c r="B90" s="3" t="str">
        <x:v>金额ID</x:v>
      </x:c>
      <x:c r="C90" s="3" t="str">
        <x:v>amount_id</x:v>
      </x:c>
      <x:c r="D90" s="3" t="str">
        <x:v>必填</x:v>
      </x:c>
      <x:c r="E90" s="3" t="str">
        <x:v>见填写说明</x:v>
      </x:c>
      <x:c r="F90" s="3" t="str">
        <x:v>M001；不把多口径相加</x:v>
      </x:c>
    </x:row>
    <x:row r="91" ht="58" customHeight="1">
      <x:c r="A91" s="3" t="str">
        <x:v>金额</x:v>
      </x:c>
      <x:c r="B91" s="3" t="str">
        <x:v>任务ID</x:v>
      </x:c>
      <x:c r="C91" s="3" t="str">
        <x:v>task_id</x:v>
      </x:c>
      <x:c r="D91" s="3" t="str">
        <x:v>必填</x:v>
      </x:c>
      <x:c r="E91" s="3" t="str">
        <x:v>见填写说明</x:v>
      </x:c>
      <x:c r="F91" s="3" t="str">
        <x:v>关联任务</x:v>
      </x:c>
    </x:row>
    <x:row r="92" ht="58" customHeight="1">
      <x:c r="A92" s="3" t="str">
        <x:v>金额</x:v>
      </x:c>
      <x:c r="B92" s="3" t="str">
        <x:v>行为人ID</x:v>
      </x:c>
      <x:c r="C92" s="3" t="str">
        <x:v>actor_id</x:v>
      </x:c>
      <x:c r="D92" s="3" t="str">
        <x:v>必填</x:v>
      </x:c>
      <x:c r="E92" s="3" t="str">
        <x:v>见填写说明</x:v>
      </x:c>
      <x:c r="F92" s="3" t="str">
        <x:v>P001或UNKNOWN</x:v>
      </x:c>
    </x:row>
    <x:row r="93" ht="58" customHeight="1">
      <x:c r="A93" s="3" t="str">
        <x:v>金额</x:v>
      </x:c>
      <x:c r="B93" s="3" t="str">
        <x:v>关联事件ID</x:v>
      </x:c>
      <x:c r="C93" s="3" t="str">
        <x:v>event_id</x:v>
      </x:c>
      <x:c r="D93" s="3" t="str">
        <x:v>必填</x:v>
      </x:c>
      <x:c r="E93" s="3" t="str">
        <x:v>见填写说明</x:v>
      </x:c>
      <x:c r="F93" s="3" t="str">
        <x:v>对应事件或汇总事件</x:v>
      </x:c>
    </x:row>
    <x:row r="94" ht="58" customHeight="1">
      <x:c r="A94" s="3" t="str">
        <x:v>金额</x:v>
      </x:c>
      <x:c r="B94" s="3" t="str">
        <x:v>金额类型</x:v>
      </x:c>
      <x:c r="C94" s="3" t="str">
        <x:v>amount_type</x:v>
      </x:c>
      <x:c r="D94" s="3" t="str">
        <x:v>必填</x:v>
      </x:c>
      <x:c r="E94" s="3" t="str">
        <x:v>账户总流水；涉诈流入资金；支付结算金额；犯罪数额；犯罪所得及收益；个人参与数额；违法所得或个人获利；退赃退赔金额</x:v>
      </x:c>
      <x:c r="F94" s="3" t="str">
        <x:v>八类口径分别存储</x:v>
      </x:c>
    </x:row>
    <x:row r="95" ht="58" customHeight="1">
      <x:c r="A95" s="3" t="str">
        <x:v>金额</x:v>
      </x:c>
      <x:c r="B95" s="3" t="str">
        <x:v>金额原值</x:v>
      </x:c>
      <x:c r="C95" s="3" t="str">
        <x:v>raw_value</x:v>
      </x:c>
      <x:c r="D95" s="3" t="str">
        <x:v>条件或可选</x:v>
      </x:c>
      <x:c r="E95" s="3" t="str">
        <x:v>见填写说明</x:v>
      </x:c>
      <x:c r="F95" s="3" t="str">
        <x:v>数字；未知留空并写金额状态</x:v>
      </x:c>
    </x:row>
    <x:row r="96" ht="58" customHeight="1">
      <x:c r="A96" s="3" t="str">
        <x:v>金额</x:v>
      </x:c>
      <x:c r="B96" s="3" t="str">
        <x:v>币种</x:v>
      </x:c>
      <x:c r="C96" s="3" t="str">
        <x:v>currency</x:v>
      </x:c>
      <x:c r="D96" s="3" t="str">
        <x:v>必填</x:v>
      </x:c>
      <x:c r="E96" s="3" t="str">
        <x:v>见填写说明</x:v>
      </x:c>
      <x:c r="F96" s="3" t="str">
        <x:v>CNY USD USDT等；不得混合求和</x:v>
      </x:c>
    </x:row>
    <x:row r="97" ht="58" customHeight="1">
      <x:c r="A97" s="3" t="str">
        <x:v>金额</x:v>
      </x:c>
      <x:c r="B97" s="3" t="str">
        <x:v>原单位</x:v>
      </x:c>
      <x:c r="C97" s="3" t="str">
        <x:v>unit</x:v>
      </x:c>
      <x:c r="D97" s="3" t="str">
        <x:v>必填</x:v>
      </x:c>
      <x:c r="E97" s="3" t="str">
        <x:v>见填写说明</x:v>
      </x:c>
      <x:c r="F97" s="3" t="str">
        <x:v>元万元或币单位</x:v>
      </x:c>
    </x:row>
    <x:row r="98" ht="58" customHeight="1">
      <x:c r="A98" s="3" t="str">
        <x:v>金额</x:v>
      </x:c>
      <x:c r="B98" s="3" t="str">
        <x:v>金额状态</x:v>
      </x:c>
      <x:c r="C98" s="3" t="str">
        <x:v>amount_state</x:v>
      </x:c>
      <x:c r="D98" s="3" t="str">
        <x:v>必填</x:v>
      </x:c>
      <x:c r="E98" s="3" t="str">
        <x:v>查证数额；材料记载未查证；估算；信息不足</x:v>
      </x:c>
      <x:c r="F98" s="3" t="str">
        <x:v>区分原文记载查证与估算</x:v>
      </x:c>
    </x:row>
    <x:row r="99" ht="58" customHeight="1">
      <x:c r="A99" s="3" t="str">
        <x:v>金额</x:v>
      </x:c>
      <x:c r="B99" s="3" t="str">
        <x:v>统计方向</x:v>
      </x:c>
      <x:c r="C99" s="3" t="str">
        <x:v>direction</x:v>
      </x:c>
      <x:c r="D99" s="3" t="str">
        <x:v>必填</x:v>
      </x:c>
      <x:c r="E99" s="3" t="str">
        <x:v>流入；流出；双向；单项；汇总去重</x:v>
      </x:c>
      <x:c r="F99" s="3" t="str">
        <x:v>流入流出双向或汇总</x:v>
      </x:c>
    </x:row>
    <x:row r="100" ht="58" customHeight="1">
      <x:c r="A100" s="3" t="str">
        <x:v>金额</x:v>
      </x:c>
      <x:c r="B100" s="3" t="str">
        <x:v>个人归集期间</x:v>
      </x:c>
      <x:c r="C100" s="3" t="str">
        <x:v>attribution_period</x:v>
      </x:c>
      <x:c r="D100" s="3" t="str">
        <x:v>必填</x:v>
      </x:c>
      <x:c r="E100" s="3" t="str">
        <x:v>见填写说明</x:v>
      </x:c>
      <x:c r="F100" s="3" t="str">
        <x:v>仅归入有控制操作或分工依据期间</x:v>
      </x:c>
    </x:row>
    <x:row r="101" ht="58" customHeight="1">
      <x:c r="A101" s="3" t="str">
        <x:v>金额</x:v>
      </x:c>
      <x:c r="B101" s="3" t="str">
        <x:v>去重批次ID</x:v>
      </x:c>
      <x:c r="C101" s="3" t="str">
        <x:v>dedup_group</x:v>
      </x:c>
      <x:c r="D101" s="3" t="str">
        <x:v>必填</x:v>
      </x:c>
      <x:c r="E101" s="3" t="str">
        <x:v>见填写说明</x:v>
      </x:c>
      <x:c r="F101" s="3" t="str">
        <x:v>同一财物往返转账同批次；不明写待核</x:v>
      </x:c>
    </x:row>
    <x:row r="102" ht="58" customHeight="1">
      <x:c r="A102" s="3" t="str">
        <x:v>金额</x:v>
      </x:c>
      <x:c r="B102" s="3" t="str">
        <x:v>计入规则与排除项</x:v>
      </x:c>
      <x:c r="C102" s="3" t="str">
        <x:v>inclusion_rule</x:v>
      </x:c>
      <x:c r="D102" s="3" t="str">
        <x:v>必填</x:v>
      </x:c>
      <x:c r="E102" s="3" t="str">
        <x:v>见填写说明</x:v>
      </x:c>
      <x:c r="F102" s="3" t="str">
        <x:v>逐笔范围及去重方法；不能只写涉案金额</x:v>
      </x:c>
    </x:row>
    <x:row r="103" ht="58" customHeight="1">
      <x:c r="A103" s="3" t="str">
        <x:v>金额</x:v>
      </x:c>
      <x:c r="B103" s="3" t="str">
        <x:v>来源片段ID</x:v>
      </x:c>
      <x:c r="C103" s="3" t="str">
        <x:v>span_ids</x:v>
      </x:c>
      <x:c r="D103" s="3" t="str">
        <x:v>必填</x:v>
      </x:c>
      <x:c r="E103" s="3" t="str">
        <x:v>见填写说明</x:v>
      </x:c>
      <x:c r="F103" s="3" t="str">
        <x:v>英文分号分隔</x:v>
      </x:c>
    </x:row>
    <x:row r="104" ht="58" customHeight="1">
      <x:c r="A104" s="3" t="str">
        <x:v>金额</x:v>
      </x:c>
      <x:c r="B104" s="3" t="str">
        <x:v>规范ID</x:v>
      </x:c>
      <x:c r="C104" s="3" t="str">
        <x:v>norm_ids</x:v>
      </x:c>
      <x:c r="D104" s="3" t="str">
        <x:v>条件或可选</x:v>
      </x:c>
      <x:c r="E104" s="3" t="str">
        <x:v>见填写说明</x:v>
      </x:c>
      <x:c r="F104" s="3" t="str">
        <x:v>形成法律数额时必填；原始流水可留空</x:v>
      </x:c>
    </x:row>
    <x:row r="105" ht="58" customHeight="1">
      <x:c r="A105" s="3" t="str">
        <x:v>金额</x:v>
      </x:c>
      <x:c r="B105" s="3" t="str">
        <x:v>缺失说明</x:v>
      </x:c>
      <x:c r="C105" s="3" t="str">
        <x:v>missing_note</x:v>
      </x:c>
      <x:c r="D105" s="3" t="str">
        <x:v>条件或可选</x:v>
      </x:c>
      <x:c r="E105" s="3" t="str">
        <x:v>见填写说明</x:v>
      </x:c>
      <x:c r="F105" s="3" t="str">
        <x:v>原值空时说明原因</x:v>
      </x:c>
    </x:row>
    <x:row r="106" ht="58" customHeight="1">
      <x:c r="A106" s="3" t="str">
        <x:v>要件审查</x:v>
      </x:c>
      <x:c r="B106" s="3" t="str">
        <x:v>要件记录ID</x:v>
      </x:c>
      <x:c r="C106" s="3" t="str">
        <x:v>element_record_id</x:v>
      </x:c>
      <x:c r="D106" s="3" t="str">
        <x:v>必填</x:v>
      </x:c>
      <x:c r="E106" s="3" t="str">
        <x:v>见填写说明</x:v>
      </x:c>
      <x:c r="F106" s="3" t="str">
        <x:v>ELR001；A/B不同记录ID</x:v>
      </x:c>
    </x:row>
    <x:row r="107" ht="58" customHeight="1">
      <x:c r="A107" s="3" t="str">
        <x:v>要件审查</x:v>
      </x:c>
      <x:c r="B107" s="3" t="str">
        <x:v>任务ID</x:v>
      </x:c>
      <x:c r="C107" s="3" t="str">
        <x:v>task_id</x:v>
      </x:c>
      <x:c r="D107" s="3" t="str">
        <x:v>必填</x:v>
      </x:c>
      <x:c r="E107" s="3" t="str">
        <x:v>见填写说明</x:v>
      </x:c>
      <x:c r="F107" s="3" t="str">
        <x:v>关联任务</x:v>
      </x:c>
    </x:row>
    <x:row r="108" ht="58" customHeight="1">
      <x:c r="A108" s="3" t="str">
        <x:v>要件审查</x:v>
      </x:c>
      <x:c r="B108" s="3" t="str">
        <x:v>目标ID</x:v>
      </x:c>
      <x:c r="C108" s="3" t="str">
        <x:v>target_id</x:v>
      </x:c>
      <x:c r="D108" s="3" t="str">
        <x:v>必填</x:v>
      </x:c>
      <x:c r="E108" s="3" t="str">
        <x:v>见填写说明</x:v>
      </x:c>
      <x:c r="F108" s="3" t="str">
        <x:v>Q001；协调员冻结，两人同目标</x:v>
      </x:c>
    </x:row>
    <x:row r="109" ht="58" customHeight="1">
      <x:c r="A109" s="3" t="str">
        <x:v>要件审查</x:v>
      </x:c>
      <x:c r="B109" s="3" t="str">
        <x:v>行为人ID</x:v>
      </x:c>
      <x:c r="C109" s="3" t="str">
        <x:v>actor_id</x:v>
      </x:c>
      <x:c r="D109" s="3" t="str">
        <x:v>必填</x:v>
      </x:c>
      <x:c r="E109" s="3" t="str">
        <x:v>见填写说明</x:v>
      </x:c>
      <x:c r="F109" s="3" t="str">
        <x:v>实体ID</x:v>
      </x:c>
    </x:row>
    <x:row r="110" ht="58" customHeight="1">
      <x:c r="A110" s="3" t="str">
        <x:v>要件审查</x:v>
      </x:c>
      <x:c r="B110" s="3" t="str">
        <x:v>事件ID</x:v>
      </x:c>
      <x:c r="C110" s="3" t="str">
        <x:v>event_id</x:v>
      </x:c>
      <x:c r="D110" s="3" t="str">
        <x:v>必填</x:v>
      </x:c>
      <x:c r="E110" s="3" t="str">
        <x:v>见填写说明</x:v>
      </x:c>
      <x:c r="F110" s="3" t="str">
        <x:v>具体行为范围</x:v>
      </x:c>
    </x:row>
    <x:row r="111" ht="58" customHeight="1">
      <x:c r="A111" s="3" t="str">
        <x:v>要件审查</x:v>
      </x:c>
      <x:c r="B111" s="3" t="str">
        <x:v>候选路径</x:v>
      </x:c>
      <x:c r="C111" s="3" t="str">
        <x:v>crime</x:v>
      </x:c>
      <x:c r="D111" s="3" t="str">
        <x:v>必填</x:v>
      </x:c>
      <x:c r="E111" s="3" t="str">
        <x:v>帮信罪；掩隐罪；诈骗罪；其他罪名；非刑事路径；尚不能判断</x:v>
      </x:c>
      <x:c r="F111" s="3" t="str">
        <x:v>可新增其他或非刑事路径，不封闭三选一</x:v>
      </x:c>
    </x:row>
    <x:row r="112" ht="58" customHeight="1">
      <x:c r="A112" s="3" t="str">
        <x:v>要件审查</x:v>
      </x:c>
      <x:c r="B112" s="3" t="str">
        <x:v>要件代码</x:v>
      </x:c>
      <x:c r="C112" s="3" t="str">
        <x:v>element_code</x:v>
      </x:c>
      <x:c r="D112" s="3" t="str">
        <x:v>必填</x:v>
      </x:c>
      <x:c r="E112" s="3" t="str">
        <x:v>见填写说明</x:v>
      </x:c>
      <x:c r="F112" s="3" t="str">
        <x:v>H01至H06 C01至C05 F01至F06或补充代码</x:v>
      </x:c>
    </x:row>
    <x:row r="113" ht="58" customHeight="1">
      <x:c r="A113" s="3" t="str">
        <x:v>要件审查</x:v>
      </x:c>
      <x:c r="B113" s="3" t="str">
        <x:v>认识对象</x:v>
      </x:c>
      <x:c r="C113" s="3" t="str">
        <x:v>knowledge_object</x:v>
      </x:c>
      <x:c r="D113" s="3" t="str">
        <x:v>必填</x:v>
      </x:c>
      <x:c r="E113" s="3" t="str">
        <x:v>他人利用信息网络实施犯罪；犯罪所得及其收益；诈骗及共同分工；其他要件</x:v>
      </x:c>
      <x:c r="F113" s="3" t="str">
        <x:v>按具体法律要件，不机械递进</x:v>
      </x:c>
    </x:row>
    <x:row r="114" ht="58" customHeight="1">
      <x:c r="A114" s="3" t="str">
        <x:v>要件审查</x:v>
      </x:c>
      <x:c r="B114" s="3" t="str">
        <x:v>认识形成期间</x:v>
      </x:c>
      <x:c r="C114" s="3" t="str">
        <x:v>knowledge_time</x:v>
      </x:c>
      <x:c r="D114" s="3" t="str">
        <x:v>必填</x:v>
      </x:c>
      <x:c r="E114" s="3" t="str">
        <x:v>见填写说明</x:v>
      </x:c>
      <x:c r="F114" s="3" t="str">
        <x:v>认识要件必填；其他填不适用</x:v>
      </x:c>
    </x:row>
    <x:row r="115" ht="58" customHeight="1">
      <x:c r="A115" s="3" t="str">
        <x:v>要件审查</x:v>
      </x:c>
      <x:c r="B115" s="3" t="str">
        <x:v>支持状态S</x:v>
      </x:c>
      <x:c r="C115" s="3" t="str">
        <x:v>support_state</x:v>
      </x:c>
      <x:c r="D115" s="3" t="str">
        <x:v>必填</x:v>
      </x:c>
      <x:c r="E115" s="3" t="str">
        <x:v>材料支持；材料反对；存在冲突；信息不足；不适用</x:v>
      </x:c>
      <x:c r="F115" s="3" t="str">
        <x:v>材料内支持不等于有罪或证明标准</x:v>
      </x:c>
    </x:row>
    <x:row r="116" ht="58" customHeight="1">
      <x:c r="A116" s="3" t="str">
        <x:v>要件审查</x:v>
      </x:c>
      <x:c r="B116" s="3" t="str">
        <x:v>支持片段ID</x:v>
      </x:c>
      <x:c r="C116" s="3" t="str">
        <x:v>support_ids</x:v>
      </x:c>
      <x:c r="D116" s="3" t="str">
        <x:v>条件或可选</x:v>
      </x:c>
      <x:c r="E116" s="3" t="str">
        <x:v>见填写说明</x:v>
      </x:c>
      <x:c r="F116" s="3" t="str">
        <x:v>英文分号分隔</x:v>
      </x:c>
    </x:row>
    <x:row r="117" ht="58" customHeight="1">
      <x:c r="A117" s="3" t="str">
        <x:v>要件审查</x:v>
      </x:c>
      <x:c r="B117" s="3" t="str">
        <x:v>相反片段ID</x:v>
      </x:c>
      <x:c r="C117" s="3" t="str">
        <x:v>opposing_ids</x:v>
      </x:c>
      <x:c r="D117" s="3" t="str">
        <x:v>条件或可选</x:v>
      </x:c>
      <x:c r="E117" s="3" t="str">
        <x:v>见填写说明</x:v>
      </x:c>
      <x:c r="F117" s="3" t="str">
        <x:v>未发现填空并在缺失列说明检索范围</x:v>
      </x:c>
    </x:row>
    <x:row r="118" ht="58" customHeight="1">
      <x:c r="A118" s="3" t="str">
        <x:v>要件审查</x:v>
      </x:c>
      <x:c r="B118" s="3" t="str">
        <x:v>缺失与冲突</x:v>
      </x:c>
      <x:c r="C118" s="3" t="str">
        <x:v>missing_conflict</x:v>
      </x:c>
      <x:c r="D118" s="3" t="str">
        <x:v>必填</x:v>
      </x:c>
      <x:c r="E118" s="3" t="str">
        <x:v>见填写说明</x:v>
      </x:c>
      <x:c r="F118" s="3" t="str">
        <x:v>无则写未发现及可见材料范围</x:v>
      </x:c>
    </x:row>
    <x:row r="119" ht="58" customHeight="1">
      <x:c r="A119" s="3" t="str">
        <x:v>要件审查</x:v>
      </x:c>
      <x:c r="B119" s="3" t="str">
        <x:v>规范ID及条项</x:v>
      </x:c>
      <x:c r="C119" s="3" t="str">
        <x:v>norm_refs</x:v>
      </x:c>
      <x:c r="D119" s="3" t="str">
        <x:v>必填</x:v>
      </x:c>
      <x:c r="E119" s="3" t="str">
        <x:v>见填写说明</x:v>
      </x:c>
      <x:c r="F119" s="3" t="str">
        <x:v>NormID:第几条第几项；其他路径先待核</x:v>
      </x:c>
    </x:row>
    <x:row r="120" ht="58" customHeight="1">
      <x:c r="A120" s="3" t="str">
        <x:v>要件审查</x:v>
      </x:c>
      <x:c r="B120" s="3" t="str">
        <x:v>论证说明</x:v>
      </x:c>
      <x:c r="C120" s="3" t="str">
        <x:v>rationale</x:v>
      </x:c>
      <x:c r="D120" s="3" t="str">
        <x:v>必填</x:v>
      </x:c>
      <x:c r="E120" s="3" t="str">
        <x:v>见填写说明</x:v>
      </x:c>
      <x:c r="F120" s="3" t="str">
        <x:v>事实到要件的推断根据及限制</x:v>
      </x:c>
    </x:row>
    <x:row r="121" ht="58" customHeight="1">
      <x:c r="A121" s="3" t="str">
        <x:v>要件审查</x:v>
      </x:c>
      <x:c r="B121" s="3" t="str">
        <x:v>证明责任审查</x:v>
      </x:c>
      <x:c r="C121" s="3" t="str">
        <x:v>burden_note</x:v>
      </x:c>
      <x:c r="D121" s="3" t="str">
        <x:v>必填</x:v>
      </x:c>
      <x:c r="E121" s="3" t="str">
        <x:v>见填写说明</x:v>
      </x:c>
      <x:c r="F121" s="3" t="str">
        <x:v>控方承担证明责任；不能要求辩方证明相反事实全部成立</x:v>
      </x:c>
    </x:row>
    <x:row r="122" ht="58" customHeight="1">
      <x:c r="A122" s="3" t="str">
        <x:v>论证</x:v>
      </x:c>
      <x:c r="B122" s="3" t="str">
        <x:v>论证记录ID</x:v>
      </x:c>
      <x:c r="C122" s="3" t="str">
        <x:v>argument_record_id</x:v>
      </x:c>
      <x:c r="D122" s="3" t="str">
        <x:v>必填</x:v>
      </x:c>
      <x:c r="E122" s="3" t="str">
        <x:v>见填写说明</x:v>
      </x:c>
      <x:c r="F122" s="3" t="str">
        <x:v>AR001；每个任务版本唯一</x:v>
      </x:c>
    </x:row>
    <x:row r="123" ht="58" customHeight="1">
      <x:c r="A123" s="3" t="str">
        <x:v>论证</x:v>
      </x:c>
      <x:c r="B123" s="3" t="str">
        <x:v>任务ID</x:v>
      </x:c>
      <x:c r="C123" s="3" t="str">
        <x:v>task_id</x:v>
      </x:c>
      <x:c r="D123" s="3" t="str">
        <x:v>必填</x:v>
      </x:c>
      <x:c r="E123" s="3" t="str">
        <x:v>见填写说明</x:v>
      </x:c>
      <x:c r="F123" s="3" t="str">
        <x:v>关联任务</x:v>
      </x:c>
    </x:row>
    <x:row r="124" ht="58" customHeight="1">
      <x:c r="A124" s="3" t="str">
        <x:v>论证</x:v>
      </x:c>
      <x:c r="B124" s="3" t="str">
        <x:v>论证ID</x:v>
      </x:c>
      <x:c r="C124" s="3" t="str">
        <x:v>argument_id</x:v>
      </x:c>
      <x:c r="D124" s="3" t="str">
        <x:v>必填</x:v>
      </x:c>
      <x:c r="E124" s="3" t="str">
        <x:v>见填写说明</x:v>
      </x:c>
      <x:c r="F124" s="3" t="str">
        <x:v>A001；协调员冻结身份后跨阶段稳定</x:v>
      </x:c>
    </x:row>
    <x:row r="125" ht="58" customHeight="1">
      <x:c r="A125" s="3" t="str">
        <x:v>论证</x:v>
      </x:c>
      <x:c r="B125" s="3" t="str">
        <x:v>目标ID</x:v>
      </x:c>
      <x:c r="C125" s="3" t="str">
        <x:v>target_id</x:v>
      </x:c>
      <x:c r="D125" s="3" t="str">
        <x:v>必填</x:v>
      </x:c>
      <x:c r="E125" s="3" t="str">
        <x:v>见填写说明</x:v>
      </x:c>
      <x:c r="F125" s="3" t="str">
        <x:v>关联要件目标Q001</x:v>
      </x:c>
    </x:row>
    <x:row r="126" ht="58" customHeight="1">
      <x:c r="A126" s="3" t="str">
        <x:v>论证</x:v>
      </x:c>
      <x:c r="B126" s="3" t="str">
        <x:v>论证版本</x:v>
      </x:c>
      <x:c r="C126" s="3" t="str">
        <x:v>argument_version</x:v>
      </x:c>
      <x:c r="D126" s="3" t="str">
        <x:v>必填</x:v>
      </x:c>
      <x:c r="E126" s="3" t="str">
        <x:v>见填写说明</x:v>
      </x:c>
      <x:c r="F126" s="3" t="str">
        <x:v>v1 v2等</x:v>
      </x:c>
    </x:row>
    <x:row r="127" ht="58" customHeight="1">
      <x:c r="A127" s="3" t="str">
        <x:v>论证</x:v>
      </x:c>
      <x:c r="B127" s="3" t="str">
        <x:v>结论文本</x:v>
      </x:c>
      <x:c r="C127" s="3" t="str">
        <x:v>conclusion</x:v>
      </x:c>
      <x:c r="D127" s="3" t="str">
        <x:v>必填</x:v>
      </x:c>
      <x:c r="E127" s="3" t="str">
        <x:v>见填写说明</x:v>
      </x:c>
      <x:c r="F127" s="3" t="str">
        <x:v>保留主体认识对象期间行为</x:v>
      </x:c>
    </x:row>
    <x:row r="128" ht="58" customHeight="1">
      <x:c r="A128" s="3" t="str">
        <x:v>论证</x:v>
      </x:c>
      <x:c r="B128" s="3" t="str">
        <x:v>核心推断根据</x:v>
      </x:c>
      <x:c r="C128" s="3" t="str">
        <x:v>inference_warrant</x:v>
      </x:c>
      <x:c r="D128" s="3" t="str">
        <x:v>必填</x:v>
      </x:c>
      <x:c r="E128" s="3" t="str">
        <x:v>见填写说明</x:v>
      </x:c>
      <x:c r="F128" s="3" t="str">
        <x:v>为什么这组事实能支持结论</x:v>
      </x:c>
    </x:row>
    <x:row r="129" ht="58" customHeight="1">
      <x:c r="A129" s="3" t="str">
        <x:v>论证</x:v>
      </x:c>
      <x:c r="B129" s="3" t="str">
        <x:v>必要前提</x:v>
      </x:c>
      <x:c r="C129" s="3" t="str">
        <x:v>necessary_premises</x:v>
      </x:c>
      <x:c r="D129" s="3" t="str">
        <x:v>必填</x:v>
      </x:c>
      <x:c r="E129" s="3" t="str">
        <x:v>见填写说明</x:v>
      </x:c>
      <x:c r="F129" s="3" t="str">
        <x:v>核心事实簇，允许整体不强拆树</x:v>
      </x:c>
    </x:row>
    <x:row r="130" ht="58" customHeight="1">
      <x:c r="A130" s="3" t="str">
        <x:v>论证</x:v>
      </x:c>
      <x:c r="B130" s="3" t="str">
        <x:v>可调整前提</x:v>
      </x:c>
      <x:c r="C130" s="3" t="str">
        <x:v>adjustable_premises</x:v>
      </x:c>
      <x:c r="D130" s="3" t="str">
        <x:v>条件或可选</x:v>
      </x:c>
      <x:c r="E130" s="3" t="str">
        <x:v>见填写说明</x:v>
      </x:c>
      <x:c r="F130" s="3" t="str">
        <x:v>删除后可能同一论证修订</x:v>
      </x:c>
    </x:row>
    <x:row r="131" ht="58" customHeight="1">
      <x:c r="A131" s="3" t="str">
        <x:v>论证</x:v>
      </x:c>
      <x:c r="B131" s="3" t="str">
        <x:v>依赖片段ID</x:v>
      </x:c>
      <x:c r="C131" s="3" t="str">
        <x:v>dependency_ids</x:v>
      </x:c>
      <x:c r="D131" s="3" t="str">
        <x:v>必填</x:v>
      </x:c>
      <x:c r="E131" s="3" t="str">
        <x:v>见填写说明</x:v>
      </x:c>
      <x:c r="F131" s="3" t="str">
        <x:v>英文分号；同源依赖另在关系表记录</x:v>
      </x:c>
    </x:row>
    <x:row r="132" ht="58" customHeight="1">
      <x:c r="A132" s="3" t="str">
        <x:v>论证</x:v>
      </x:c>
      <x:c r="B132" s="3" t="str">
        <x:v>相反解释与限制</x:v>
      </x:c>
      <x:c r="C132" s="3" t="str">
        <x:v>alternatives</x:v>
      </x:c>
      <x:c r="D132" s="3" t="str">
        <x:v>必填</x:v>
      </x:c>
      <x:c r="E132" s="3" t="str">
        <x:v>见填写说明</x:v>
      </x:c>
      <x:c r="F132" s="3" t="str">
        <x:v>正常业务等；未发现也写材料范围</x:v>
      </x:c>
    </x:row>
    <x:row r="133" ht="58" customHeight="1">
      <x:c r="A133" s="3" t="str">
        <x:v>论证</x:v>
      </x:c>
      <x:c r="B133" s="3" t="str">
        <x:v>来源论证ID</x:v>
      </x:c>
      <x:c r="C133" s="3" t="str">
        <x:v>parent_argument_id</x:v>
      </x:c>
      <x:c r="D133" s="3" t="str">
        <x:v>条件或可选</x:v>
      </x:c>
      <x:c r="E133" s="3" t="str">
        <x:v>见填写说明</x:v>
      </x:c>
      <x:c r="F133" s="3" t="str">
        <x:v>新替代论证须新ID并指向旧ID</x:v>
      </x:c>
    </x:row>
    <x:row r="134" ht="58" customHeight="1">
      <x:c r="A134" s="3" t="str">
        <x:v>论证</x:v>
      </x:c>
      <x:c r="B134" s="3" t="str">
        <x:v>身份判断依据</x:v>
      </x:c>
      <x:c r="C134" s="3" t="str">
        <x:v>identity_note</x:v>
      </x:c>
      <x:c r="D134" s="3" t="str">
        <x:v>必填</x:v>
      </x:c>
      <x:c r="E134" s="3" t="str">
        <x:v>见填写说明</x:v>
      </x:c>
      <x:c r="F134" s="3" t="str">
        <x:v>改变核心根据一般旧STOP加新论证；保留分歧</x:v>
      </x:c>
    </x:row>
    <x:row r="135" ht="58" customHeight="1">
      <x:c r="A135" s="3" t="str">
        <x:v>更新处置</x:v>
      </x:c>
      <x:c r="B135" s="3" t="str">
        <x:v>处置ID</x:v>
      </x:c>
      <x:c r="C135" s="3" t="str">
        <x:v>disposition_id</x:v>
      </x:c>
      <x:c r="D135" s="3" t="str">
        <x:v>必填</x:v>
      </x:c>
      <x:c r="E135" s="3" t="str">
        <x:v>见填写说明</x:v>
      </x:c>
      <x:c r="F135" s="3" t="str">
        <x:v>D001；不得删除旧处置</x:v>
      </x:c>
    </x:row>
    <x:row r="136" ht="58" customHeight="1">
      <x:c r="A136" s="3" t="str">
        <x:v>更新处置</x:v>
      </x:c>
      <x:c r="B136" s="3" t="str">
        <x:v>任务ID</x:v>
      </x:c>
      <x:c r="C136" s="3" t="str">
        <x:v>task_id</x:v>
      </x:c>
      <x:c r="D136" s="3" t="str">
        <x:v>必填</x:v>
      </x:c>
      <x:c r="E136" s="3" t="str">
        <x:v>见填写说明</x:v>
      </x:c>
      <x:c r="F136" s="3" t="str">
        <x:v>关联更新任务</x:v>
      </x:c>
    </x:row>
    <x:row r="137" ht="58" customHeight="1">
      <x:c r="A137" s="3" t="str">
        <x:v>更新处置</x:v>
      </x:c>
      <x:c r="B137" s="3" t="str">
        <x:v>更新ID</x:v>
      </x:c>
      <x:c r="C137" s="3" t="str">
        <x:v>update_id</x:v>
      </x:c>
      <x:c r="D137" s="3" t="str">
        <x:v>必填</x:v>
      </x:c>
      <x:c r="E137" s="3" t="str">
        <x:v>见填写说明</x:v>
      </x:c>
      <x:c r="F137" s="3" t="str">
        <x:v>U001；同更新跨论证共用</x:v>
      </x:c>
    </x:row>
    <x:row r="138" ht="58" customHeight="1">
      <x:c r="A138" s="3" t="str">
        <x:v>更新处置</x:v>
      </x:c>
      <x:c r="B138" s="3" t="str">
        <x:v>更新材料ID</x:v>
      </x:c>
      <x:c r="C138" s="3" t="str">
        <x:v>update_source_id</x:v>
      </x:c>
      <x:c r="D138" s="3" t="str">
        <x:v>必填</x:v>
      </x:c>
      <x:c r="E138" s="3" t="str">
        <x:v>见填写说明</x:v>
      </x:c>
      <x:c r="F138" s="3" t="str">
        <x:v>关联新材料，必须属于任务可见清单</x:v>
      </x:c>
    </x:row>
    <x:row r="139" ht="58" customHeight="1">
      <x:c r="A139" s="3" t="str">
        <x:v>更新处置</x:v>
      </x:c>
      <x:c r="B139" s="3" t="str">
        <x:v>更新类型</x:v>
      </x:c>
      <x:c r="C139" s="3" t="str">
        <x:v>update_type</x:v>
      </x:c>
      <x:c r="D139" s="3" t="str">
        <x:v>必填</x:v>
      </x:c>
      <x:c r="E139" s="3" t="str">
        <x:v>新增；明确更正；撤回；冲突未决；法源变化</x:v>
      </x:c>
      <x:c r="F139" s="3" t="str">
        <x:v>更正与新增矛盾不同</x:v>
      </x:c>
    </x:row>
    <x:row r="140" ht="58" customHeight="1">
      <x:c r="A140" s="3" t="str">
        <x:v>更新处置</x:v>
      </x:c>
      <x:c r="B140" s="3" t="str">
        <x:v>旧论证ID</x:v>
      </x:c>
      <x:c r="C140" s="3" t="str">
        <x:v>old_argument_id</x:v>
      </x:c>
      <x:c r="D140" s="3" t="str">
        <x:v>必填</x:v>
      </x:c>
      <x:c r="E140" s="3" t="str">
        <x:v>见填写说明</x:v>
      </x:c>
      <x:c r="F140" s="3" t="str">
        <x:v>关联已冻结论证，不按目标直接合并</x:v>
      </x:c>
    </x:row>
    <x:row r="141" ht="58" customHeight="1">
      <x:c r="A141" s="3" t="str">
        <x:v>更新处置</x:v>
      </x:c>
      <x:c r="B141" s="3" t="str">
        <x:v>处置R</x:v>
      </x:c>
      <x:c r="C141" s="3" t="str">
        <x:v>disposition</x:v>
      </x:c>
      <x:c r="D141" s="3" t="str">
        <x:v>必填</x:v>
      </x:c>
      <x:c r="E141" s="3" t="str">
        <x:v>KEEP；REVISE；STOP；PENDING</x:v>
      </x:c>
      <x:c r="F141" s="3" t="str">
        <x:v>四类只评价论证使用资格</x:v>
      </x:c>
    </x:row>
    <x:row r="142" ht="58" customHeight="1">
      <x:c r="A142" s="3" t="str">
        <x:v>更新处置</x:v>
      </x:c>
      <x:c r="B142" s="3" t="str">
        <x:v>影响范围</x:v>
      </x:c>
      <x:c r="C142" s="3" t="str">
        <x:v>impact_scope</x:v>
      </x:c>
      <x:c r="D142" s="3" t="str">
        <x:v>必填</x:v>
      </x:c>
      <x:c r="E142" s="3" t="str">
        <x:v>必须复核；容许复核；不受影响</x:v>
      </x:c>
      <x:c r="F142" s="3" t="str">
        <x:v>必须与容许范围分开</x:v>
      </x:c>
    </x:row>
    <x:row r="143" ht="58" customHeight="1">
      <x:c r="A143" s="3" t="str">
        <x:v>更新处置</x:v>
      </x:c>
      <x:c r="B143" s="3" t="str">
        <x:v>对应CQ</x:v>
      </x:c>
      <x:c r="C143" s="3" t="str">
        <x:v>cq</x:v>
      </x:c>
      <x:c r="D143" s="3" t="str">
        <x:v>必填</x:v>
      </x:c>
      <x:c r="E143" s="3" t="str">
        <x:v>CQ01主体归属；CQ02时间先后；CQ03认识对象；CQ04来源可靠性；CQ05共同来源；CQ06正常业务解释；CQ07推断关联；CQ08资金形成及口径；CQ09共同分工；CQ10规范前提；CQ11证明责任；CQ12范围传播；不适用</x:v>
      </x:c>
      <x:c r="F143" s="3" t="str">
        <x:v>指向具体疑点</x:v>
      </x:c>
    </x:row>
    <x:row r="144" ht="58" customHeight="1">
      <x:c r="A144" s="3" t="str">
        <x:v>更新处置</x:v>
      </x:c>
      <x:c r="B144" s="3" t="str">
        <x:v>挑战效果</x:v>
      </x:c>
      <x:c r="C144" s="3" t="str">
        <x:v>cq_effect</x:v>
      </x:c>
      <x:c r="D144" s="3" t="str">
        <x:v>必填</x:v>
      </x:c>
      <x:c r="E144" s="3" t="str">
        <x:v>仅提出问题；构成实质挑战；挑战已回应；削弱仍可使用；击败该依据；冲突未解决；不适用</x:v>
      </x:c>
      <x:c r="F144" s="3" t="str">
        <x:v>问题不自动击败</x:v>
      </x:c>
    </x:row>
    <x:row r="145" ht="58" customHeight="1">
      <x:c r="A145" s="3" t="str">
        <x:v>更新处置</x:v>
      </x:c>
      <x:c r="B145" s="3" t="str">
        <x:v>谱系类型</x:v>
      </x:c>
      <x:c r="C145" s="3" t="str">
        <x:v>lineage</x:v>
      </x:c>
      <x:c r="D145" s="3" t="str">
        <x:v>必填</x:v>
      </x:c>
      <x:c r="E145" s="3" t="str">
        <x:v>同一论证修订；旧论证停止；独立新增；原论证保持；资格待核</x:v>
      </x:c>
      <x:c r="F145" s="3" t="str">
        <x:v>新论证不得覆盖旧论证</x:v>
      </x:c>
    </x:row>
    <x:row r="146" ht="58" customHeight="1">
      <x:c r="A146" s="3" t="str">
        <x:v>更新处置</x:v>
      </x:c>
      <x:c r="B146" s="3" t="str">
        <x:v>更新后论证记录ID</x:v>
      </x:c>
      <x:c r="C146" s="3" t="str">
        <x:v>new_argument_record_id</x:v>
      </x:c>
      <x:c r="D146" s="3" t="str">
        <x:v>条件或可选</x:v>
      </x:c>
      <x:c r="E146" s="3" t="str">
        <x:v>见填写说明</x:v>
      </x:c>
      <x:c r="F146" s="3" t="str">
        <x:v>REVISE必填；STOP如有替代也可填</x:v>
      </x:c>
    </x:row>
    <x:row r="147" ht="58" customHeight="1">
      <x:c r="A147" s="3" t="str">
        <x:v>更新处置</x:v>
      </x:c>
      <x:c r="B147" s="3" t="str">
        <x:v>依据片段ID</x:v>
      </x:c>
      <x:c r="C147" s="3" t="str">
        <x:v>evidence_ids</x:v>
      </x:c>
      <x:c r="D147" s="3" t="str">
        <x:v>必填</x:v>
      </x:c>
      <x:c r="E147" s="3" t="str">
        <x:v>见填写说明</x:v>
      </x:c>
      <x:c r="F147" s="3" t="str">
        <x:v>可引用旧材料作必要保持见证</x:v>
      </x:c>
    </x:row>
    <x:row r="148" ht="58" customHeight="1">
      <x:c r="A148" s="3" t="str">
        <x:v>更新处置</x:v>
      </x:c>
      <x:c r="B148" s="3" t="str">
        <x:v>处置理由</x:v>
      </x:c>
      <x:c r="C148" s="3" t="str">
        <x:v>rationale</x:v>
      </x:c>
      <x:c r="D148" s="3" t="str">
        <x:v>必填</x:v>
      </x:c>
      <x:c r="E148" s="3" t="str">
        <x:v>见填写说明</x:v>
      </x:c>
      <x:c r="F148" s="3" t="str">
        <x:v>明确保留修订停止待核的依据及作用</x:v>
      </x:c>
    </x:row>
    <x:row r="149" ht="58" customHeight="1">
      <x:c r="A149" s="3" t="str">
        <x:v>更新处置</x:v>
      </x:c>
      <x:c r="B149" s="3" t="str">
        <x:v>仍需保留的信息</x:v>
      </x:c>
      <x:c r="C149" s="3" t="str">
        <x:v>retained_info</x:v>
      </x:c>
      <x:c r="D149" s="3" t="str">
        <x:v>必填</x:v>
      </x:c>
      <x:c r="E149" s="3" t="str">
        <x:v>见填写说明</x:v>
      </x:c>
      <x:c r="F149" s="3" t="str">
        <x:v>哪些事实或其他论证不因本次更新失效</x:v>
      </x:c>
    </x:row>
    <x:row r="150" ht="58" customHeight="1">
      <x:c r="A150" s="3" t="str">
        <x:v>更新处置</x:v>
      </x:c>
      <x:c r="B150" s="3" t="str">
        <x:v>旧依据使用范围</x:v>
      </x:c>
      <x:c r="C150" s="3" t="str">
        <x:v>old_source_scope</x:v>
      </x:c>
      <x:c r="D150" s="3" t="str">
        <x:v>必填</x:v>
      </x:c>
      <x:c r="E150" s="3" t="str">
        <x:v>见填写说明</x:v>
      </x:c>
      <x:c r="F150" s="3" t="str">
        <x:v>更正范围及不受影响部分</x:v>
      </x:c>
    </x:row>
    <x:row r="151" ht="58" customHeight="1">
      <x:c r="A151" s="3" t="str">
        <x:v>更新处置</x:v>
      </x:c>
      <x:c r="B151" s="3" t="str">
        <x:v>实质冲突</x:v>
      </x:c>
      <x:c r="C151" s="3" t="str">
        <x:v>material_conflict</x:v>
      </x:c>
      <x:c r="D151" s="3" t="str">
        <x:v>条件或可选</x:v>
      </x:c>
      <x:c r="E151" s="3" t="str">
        <x:v>见填写说明</x:v>
      </x:c>
      <x:c r="F151" s="3" t="str">
        <x:v>PENDING必填；一般缺信息用S信息不足</x:v>
      </x:c>
    </x:row>
    <x:row r="152" ht="58" customHeight="1">
      <x:c r="A152" s="3" t="str">
        <x:v>扩展审查</x:v>
      </x:c>
      <x:c r="B152" s="3" t="str">
        <x:v>审查ID</x:v>
      </x:c>
      <x:c r="C152" s="3" t="str">
        <x:v>extension_id</x:v>
      </x:c>
      <x:c r="D152" s="3" t="str">
        <x:v>必填</x:v>
      </x:c>
      <x:c r="E152" s="3" t="str">
        <x:v>见填写说明</x:v>
      </x:c>
      <x:c r="F152" s="3" t="str">
        <x:v>EX001</x:v>
      </x:c>
    </x:row>
    <x:row r="153" ht="58" customHeight="1">
      <x:c r="A153" s="3" t="str">
        <x:v>扩展审查</x:v>
      </x:c>
      <x:c r="B153" s="3" t="str">
        <x:v>任务ID</x:v>
      </x:c>
      <x:c r="C153" s="3" t="str">
        <x:v>task_id</x:v>
      </x:c>
      <x:c r="D153" s="3" t="str">
        <x:v>必填</x:v>
      </x:c>
      <x:c r="E153" s="3" t="str">
        <x:v>见填写说明</x:v>
      </x:c>
      <x:c r="F153" s="3" t="str">
        <x:v>关联任务</x:v>
      </x:c>
    </x:row>
    <x:row r="154" ht="58" customHeight="1">
      <x:c r="A154" s="3" t="str">
        <x:v>扩展审查</x:v>
      </x:c>
      <x:c r="B154" s="3" t="str">
        <x:v>模块类别</x:v>
      </x:c>
      <x:c r="C154" s="3" t="str">
        <x:v>module</x:v>
      </x:c>
      <x:c r="D154" s="3" t="str">
        <x:v>必填</x:v>
      </x:c>
      <x:c r="E154" s="3" t="str">
        <x:v>合规事实；单位归责；共同犯罪地位；罪数竞合；中国刑法管辖；国内办案管辖；外国法适用；量刑事实；程序与文书；规则核验</x:v>
      </x:c>
      <x:c r="F154" s="3" t="str">
        <x:v>选与功能模块对应类别</x:v>
      </x:c>
    </x:row>
    <x:row r="155" ht="58" customHeight="1">
      <x:c r="A155" s="3" t="str">
        <x:v>扩展审查</x:v>
      </x:c>
      <x:c r="B155" s="3" t="str">
        <x:v>对象ID</x:v>
      </x:c>
      <x:c r="C155" s="3" t="str">
        <x:v>object_id</x:v>
      </x:c>
      <x:c r="D155" s="3" t="str">
        <x:v>必填</x:v>
      </x:c>
      <x:c r="E155" s="3" t="str">
        <x:v>见填写说明</x:v>
      </x:c>
      <x:c r="F155" s="3" t="str">
        <x:v>主体事件金额等；类型在下一列</x:v>
      </x:c>
    </x:row>
    <x:row r="156" ht="58" customHeight="1">
      <x:c r="A156" s="3" t="str">
        <x:v>扩展审查</x:v>
      </x:c>
      <x:c r="B156" s="3" t="str">
        <x:v>对象类型</x:v>
      </x:c>
      <x:c r="C156" s="3" t="str">
        <x:v>object_type</x:v>
      </x:c>
      <x:c r="D156" s="3" t="str">
        <x:v>必填</x:v>
      </x:c>
      <x:c r="E156" s="3" t="str">
        <x:v>材料；片段；实体；事件；要件；论证；金额；更新；扩展</x:v>
      </x:c>
      <x:c r="F156" s="3" t="str">
        <x:v>便于关联核验</x:v>
      </x:c>
    </x:row>
    <x:row r="157" ht="58" customHeight="1">
      <x:c r="A157" s="3" t="str">
        <x:v>扩展审查</x:v>
      </x:c>
      <x:c r="B157" s="3" t="str">
        <x:v>审查问题</x:v>
      </x:c>
      <x:c r="C157" s="3" t="str">
        <x:v>question</x:v>
      </x:c>
      <x:c r="D157" s="3" t="str">
        <x:v>必填</x:v>
      </x:c>
      <x:c r="E157" s="3" t="str">
        <x:v>见填写说明</x:v>
      </x:c>
      <x:c r="F157" s="3" t="str">
        <x:v>一次一个问题，不填总风险分</x:v>
      </x:c>
    </x:row>
    <x:row r="158" ht="58" customHeight="1">
      <x:c r="A158" s="3" t="str">
        <x:v>扩展审查</x:v>
      </x:c>
      <x:c r="B158" s="3" t="str">
        <x:v>事实或原文命题</x:v>
      </x:c>
      <x:c r="C158" s="3" t="str">
        <x:v>claim</x:v>
      </x:c>
      <x:c r="D158" s="3" t="str">
        <x:v>必填</x:v>
      </x:c>
      <x:c r="E158" s="3" t="str">
        <x:v>见填写说明</x:v>
      </x:c>
      <x:c r="F158" s="3" t="str">
        <x:v>岗位合规告警国籍量刑等客观前提</x:v>
      </x:c>
    </x:row>
    <x:row r="159" ht="58" customHeight="1">
      <x:c r="A159" s="3" t="str">
        <x:v>扩展审查</x:v>
      </x:c>
      <x:c r="B159" s="3" t="str">
        <x:v>支持片段ID</x:v>
      </x:c>
      <x:c r="C159" s="3" t="str">
        <x:v>support_ids</x:v>
      </x:c>
      <x:c r="D159" s="3" t="str">
        <x:v>条件或可选</x:v>
      </x:c>
      <x:c r="E159" s="3" t="str">
        <x:v>见填写说明</x:v>
      </x:c>
      <x:c r="F159" s="3" t="str">
        <x:v>英文分号分隔</x:v>
      </x:c>
    </x:row>
    <x:row r="160" ht="58" customHeight="1">
      <x:c r="A160" s="3" t="str">
        <x:v>扩展审查</x:v>
      </x:c>
      <x:c r="B160" s="3" t="str">
        <x:v>相反片段ID</x:v>
      </x:c>
      <x:c r="C160" s="3" t="str">
        <x:v>opposing_ids</x:v>
      </x:c>
      <x:c r="D160" s="3" t="str">
        <x:v>条件或可选</x:v>
      </x:c>
      <x:c r="E160" s="3" t="str">
        <x:v>见填写说明</x:v>
      </x:c>
      <x:c r="F160" s="3" t="str">
        <x:v>英文分号分隔</x:v>
      </x:c>
    </x:row>
    <x:row r="161" ht="58" customHeight="1">
      <x:c r="A161" s="3" t="str">
        <x:v>扩展审查</x:v>
      </x:c>
      <x:c r="B161" s="3" t="str">
        <x:v>审查状态</x:v>
      </x:c>
      <x:c r="C161" s="3" t="str">
        <x:v>support_state</x:v>
      </x:c>
      <x:c r="D161" s="3" t="str">
        <x:v>必填</x:v>
      </x:c>
      <x:c r="E161" s="3" t="str">
        <x:v>材料支持；材料反对；存在冲突；信息不足；不适用</x:v>
      </x:c>
      <x:c r="F161" s="3" t="str">
        <x:v>信息不足不等于不存在</x:v>
      </x:c>
    </x:row>
    <x:row r="162" ht="58" customHeight="1">
      <x:c r="A162" s="3" t="str">
        <x:v>扩展审查</x:v>
      </x:c>
      <x:c r="B162" s="3" t="str">
        <x:v>规范ID及条项</x:v>
      </x:c>
      <x:c r="C162" s="3" t="str">
        <x:v>norm_refs</x:v>
      </x:c>
      <x:c r="D162" s="3" t="str">
        <x:v>必填</x:v>
      </x:c>
      <x:c r="E162" s="3" t="str">
        <x:v>见填写说明</x:v>
      </x:c>
      <x:c r="F162" s="3" t="str">
        <x:v>未核验规则写待核；不自动用固定百分比</x:v>
      </x:c>
    </x:row>
    <x:row r="163" ht="58" customHeight="1">
      <x:c r="A163" s="3" t="str">
        <x:v>扩展审查</x:v>
      </x:c>
      <x:c r="B163" s="3" t="str">
        <x:v>规范适用理由</x:v>
      </x:c>
      <x:c r="C163" s="3" t="str">
        <x:v>applicability</x:v>
      </x:c>
      <x:c r="D163" s="3" t="str">
        <x:v>必填</x:v>
      </x:c>
      <x:c r="E163" s="3" t="str">
        <x:v>见填写说明</x:v>
      </x:c>
      <x:c r="F163" s="3" t="str">
        <x:v>法域行为时程序及主体前提；外国法还需原文及翻译</x:v>
      </x:c>
    </x:row>
    <x:row r="164" ht="58" customHeight="1">
      <x:c r="A164" s="3" t="str">
        <x:v>扩展审查</x:v>
      </x:c>
      <x:c r="B164" s="3" t="str">
        <x:v>缺失项与影响</x:v>
      </x:c>
      <x:c r="C164" s="3" t="str">
        <x:v>missing_impact</x:v>
      </x:c>
      <x:c r="D164" s="3" t="str">
        <x:v>必填</x:v>
      </x:c>
      <x:c r="E164" s="3" t="str">
        <x:v>见填写说明</x:v>
      </x:c>
      <x:c r="F164" s="3" t="str">
        <x:v>金额变化同时检查入罪量刑文书等</x:v>
      </x:c>
    </x:row>
    <x:row r="165" ht="58" customHeight="1">
      <x:c r="A165" s="3" t="str">
        <x:v>扩展审查</x:v>
      </x:c>
      <x:c r="B165" s="3" t="str">
        <x:v>需复核的下游ID</x:v>
      </x:c>
      <x:c r="C165" s="3" t="str">
        <x:v>affected_ids</x:v>
      </x:c>
      <x:c r="D165" s="3" t="str">
        <x:v>条件或可选</x:v>
      </x:c>
      <x:c r="E165" s="3" t="str">
        <x:v>见填写说明</x:v>
      </x:c>
      <x:c r="F165" s="3" t="str">
        <x:v>英文分号分隔</x:v>
      </x:c>
    </x:row>
    <x:row r="166" ht="58" customHeight="1">
      <x:c r="A166" s="3" t="str">
        <x:v>扩展审查</x:v>
      </x:c>
      <x:c r="B166" s="3" t="str">
        <x:v>人工意见</x:v>
      </x:c>
      <x:c r="C166" s="3" t="str">
        <x:v>opinion</x:v>
      </x:c>
      <x:c r="D166" s="3" t="str">
        <x:v>必填</x:v>
      </x:c>
      <x:c r="E166" s="3" t="str">
        <x:v>见填写说明</x:v>
      </x:c>
      <x:c r="F166" s="3" t="str">
        <x:v>法律归责与合规事实分列，保留不确定性</x:v>
      </x:c>
    </x:row>
    <x:row r="167" ht="58" customHeight="1">
      <x:c r="A167" s="3" t="str">
        <x:v>裁决</x:v>
      </x:c>
      <x:c r="B167" s="3" t="str">
        <x:v>裁决ID</x:v>
      </x:c>
      <x:c r="C167" s="3" t="str">
        <x:v>adjudication_id</x:v>
      </x:c>
      <x:c r="D167" s="3" t="str">
        <x:v>必填</x:v>
      </x:c>
      <x:c r="E167" s="3" t="str">
        <x:v>见填写说明</x:v>
      </x:c>
      <x:c r="F167" s="3" t="str">
        <x:v>AD001</x:v>
      </x:c>
    </x:row>
    <x:row r="168" ht="58" customHeight="1">
      <x:c r="A168" s="3" t="str">
        <x:v>裁决</x:v>
      </x:c>
      <x:c r="B168" s="3" t="str">
        <x:v>案件ID</x:v>
      </x:c>
      <x:c r="C168" s="3" t="str">
        <x:v>case_id</x:v>
      </x:c>
      <x:c r="D168" s="3" t="str">
        <x:v>必填</x:v>
      </x:c>
      <x:c r="E168" s="3" t="str">
        <x:v>见填写说明</x:v>
      </x:c>
      <x:c r="F168" s="3" t="str">
        <x:v>关联案件</x:v>
      </x:c>
    </x:row>
    <x:row r="169" ht="58" customHeight="1">
      <x:c r="A169" s="3" t="str">
        <x:v>裁决</x:v>
      </x:c>
      <x:c r="B169" s="3" t="str">
        <x:v>对齐对象ID</x:v>
      </x:c>
      <x:c r="C169" s="3" t="str">
        <x:v>aligned_id</x:v>
      </x:c>
      <x:c r="D169" s="3" t="str">
        <x:v>必填</x:v>
      </x:c>
      <x:c r="E169" s="3" t="str">
        <x:v>见填写说明</x:v>
      </x:c>
      <x:c r="F169" s="3" t="str">
        <x:v>协调员固定要件目标或旧论证ID等</x:v>
      </x:c>
    </x:row>
    <x:row r="170" ht="58" customHeight="1">
      <x:c r="A170" s="3" t="str">
        <x:v>裁决</x:v>
      </x:c>
      <x:c r="B170" s="3" t="str">
        <x:v>A任务ID</x:v>
      </x:c>
      <x:c r="C170" s="3" t="str">
        <x:v>task_a</x:v>
      </x:c>
      <x:c r="D170" s="3" t="str">
        <x:v>必填</x:v>
      </x:c>
      <x:c r="E170" s="3" t="str">
        <x:v>见填写说明</x:v>
      </x:c>
      <x:c r="F170" s="3" t="str">
        <x:v>A独立副本任务</x:v>
      </x:c>
    </x:row>
    <x:row r="171" ht="58" customHeight="1">
      <x:c r="A171" s="3" t="str">
        <x:v>裁决</x:v>
      </x:c>
      <x:c r="B171" s="3" t="str">
        <x:v>B任务ID</x:v>
      </x:c>
      <x:c r="C171" s="3" t="str">
        <x:v>task_b</x:v>
      </x:c>
      <x:c r="D171" s="3" t="str">
        <x:v>必填</x:v>
      </x:c>
      <x:c r="E171" s="3" t="str">
        <x:v>见填写说明</x:v>
      </x:c>
      <x:c r="F171" s="3" t="str">
        <x:v>B独立副本任务；不可同人</x:v>
      </x:c>
    </x:row>
    <x:row r="172" ht="58" customHeight="1">
      <x:c r="A172" s="3" t="str">
        <x:v>裁决</x:v>
      </x:c>
      <x:c r="B172" s="3" t="str">
        <x:v>A原记录ID</x:v>
      </x:c>
      <x:c r="C172" s="3" t="str">
        <x:v>record_a</x:v>
      </x:c>
      <x:c r="D172" s="3" t="str">
        <x:v>必填</x:v>
      </x:c>
      <x:c r="E172" s="3" t="str">
        <x:v>见填写说明</x:v>
      </x:c>
      <x:c r="F172" s="3" t="str">
        <x:v>原始记录保存不可覆盖</x:v>
      </x:c>
    </x:row>
    <x:row r="173" ht="58" customHeight="1">
      <x:c r="A173" s="3" t="str">
        <x:v>裁决</x:v>
      </x:c>
      <x:c r="B173" s="3" t="str">
        <x:v>B原记录ID</x:v>
      </x:c>
      <x:c r="C173" s="3" t="str">
        <x:v>record_b</x:v>
      </x:c>
      <x:c r="D173" s="3" t="str">
        <x:v>必填</x:v>
      </x:c>
      <x:c r="E173" s="3" t="str">
        <x:v>见填写说明</x:v>
      </x:c>
      <x:c r="F173" s="3" t="str">
        <x:v>原始记录保存不可覆盖</x:v>
      </x:c>
    </x:row>
    <x:row r="174" ht="58" customHeight="1">
      <x:c r="A174" s="3" t="str">
        <x:v>裁决</x:v>
      </x:c>
      <x:c r="B174" s="3" t="str">
        <x:v>分歧类型</x:v>
      </x:c>
      <x:c r="C174" s="3" t="str">
        <x:v>disagreement_type</x:v>
      </x:c>
      <x:c r="D174" s="3" t="str">
        <x:v>必填</x:v>
      </x:c>
      <x:c r="E174" s="3" t="str">
        <x:v>见填写说明</x:v>
      </x:c>
      <x:c r="F174" s="3" t="str">
        <x:v>遗漏材料理解规范适用推断或身份边界</x:v>
      </x:c>
    </x:row>
    <x:row r="175" ht="58" customHeight="1">
      <x:c r="A175" s="3" t="str">
        <x:v>裁决</x:v>
      </x:c>
      <x:c r="B175" s="3" t="str">
        <x:v>裁决结果</x:v>
      </x:c>
      <x:c r="C175" s="3" t="str">
        <x:v>decision</x:v>
      </x:c>
      <x:c r="D175" s="3" t="str">
        <x:v>必填</x:v>
      </x:c>
      <x:c r="E175" s="3" t="str">
        <x:v>采A；采B；第三方案；合理多方案；退回补标；材料不可判</x:v>
      </x:c>
      <x:c r="F175" s="3" t="str">
        <x:v>合理分歧可保留完整多方案</x:v>
      </x:c>
    </x:row>
    <x:row r="176" ht="58" customHeight="1">
      <x:c r="A176" s="3" t="str">
        <x:v>裁决</x:v>
      </x:c>
      <x:c r="B176" s="3" t="str">
        <x:v>完整参考包ID</x:v>
      </x:c>
      <x:c r="C176" s="3" t="str">
        <x:v>bundle_id</x:v>
      </x:c>
      <x:c r="D176" s="3" t="str">
        <x:v>必填</x:v>
      </x:c>
      <x:c r="E176" s="3" t="str">
        <x:v>见填写说明</x:v>
      </x:c>
      <x:c r="F176" s="3" t="str">
        <x:v>BUNDLE001；不跨包拼接字段</x:v>
      </x:c>
    </x:row>
    <x:row r="177" ht="58" customHeight="1">
      <x:c r="A177" s="3" t="str">
        <x:v>裁决</x:v>
      </x:c>
      <x:c r="B177" s="3" t="str">
        <x:v>包内记录ID清单</x:v>
      </x:c>
      <x:c r="C177" s="3" t="str">
        <x:v>bundle_records</x:v>
      </x:c>
      <x:c r="D177" s="3" t="str">
        <x:v>必填</x:v>
      </x:c>
      <x:c r="E177" s="3" t="str">
        <x:v>见填写说明</x:v>
      </x:c>
      <x:c r="F177" s="3" t="str">
        <x:v>完整要件论证RG关系等记录ID</x:v>
      </x:c>
    </x:row>
    <x:row r="178" ht="58" customHeight="1">
      <x:c r="A178" s="3" t="str">
        <x:v>裁决</x:v>
      </x:c>
      <x:c r="B178" s="3" t="str">
        <x:v>裁决理由</x:v>
      </x:c>
      <x:c r="C178" s="3" t="str">
        <x:v>rationale</x:v>
      </x:c>
      <x:c r="D178" s="3" t="str">
        <x:v>必填</x:v>
      </x:c>
      <x:c r="E178" s="3" t="str">
        <x:v>见填写说明</x:v>
      </x:c>
      <x:c r="F178" s="3" t="str">
        <x:v>指定材料规范和排除另一方案理由</x:v>
      </x:c>
    </x:row>
    <x:row r="179" ht="58" customHeight="1">
      <x:c r="A179" s="3" t="str">
        <x:v>裁决</x:v>
      </x:c>
      <x:c r="B179" s="3" t="str">
        <x:v>裁决者代号</x:v>
      </x:c>
      <x:c r="C179" s="3" t="str">
        <x:v>adjudicator_id</x:v>
      </x:c>
      <x:c r="D179" s="3" t="str">
        <x:v>必填</x:v>
      </x:c>
      <x:c r="E179" s="3" t="str">
        <x:v>见填写说明</x:v>
      </x:c>
      <x:c r="F179" s="3" t="str">
        <x:v>不得与A/B代号相同</x:v>
      </x:c>
    </x:row>
    <x:row r="180" ht="58" customHeight="1">
      <x:c r="A180" s="3" t="str">
        <x:v>裁决</x:v>
      </x:c>
      <x:c r="B180" s="3" t="str">
        <x:v>裁决时间</x:v>
      </x:c>
      <x:c r="C180" s="3" t="str">
        <x:v>adjudicated_at</x:v>
      </x:c>
      <x:c r="D180" s="3" t="str">
        <x:v>必填</x:v>
      </x:c>
      <x:c r="E180" s="3" t="str">
        <x:v>见填写说明</x:v>
      </x:c>
      <x:c r="F180" s="3" t="str">
        <x:v>ISO时间含时区</x:v>
      </x:c>
    </x:row>
    <x:row r="181" ht="58" customHeight="1">
      <x:c r="A181" s="3" t="str">
        <x:v>裁决</x:v>
      </x:c>
      <x:c r="B181" s="3" t="str">
        <x:v>参考版本</x:v>
      </x:c>
      <x:c r="C181" s="3" t="str">
        <x:v>reference_version</x:v>
      </x:c>
      <x:c r="D181" s="3" t="str">
        <x:v>必填</x:v>
      </x:c>
      <x:c r="E181" s="3" t="str">
        <x:v>见填写说明</x:v>
      </x:c>
      <x:c r="F181" s="3" t="str">
        <x:v>修改后对全部方法统一重评分</x:v>
      </x:c>
    </x:row>
    <x:row r="182" ht="58" customHeight="1">
      <x:c r="A182" s="3" t="str">
        <x:v>裁决</x:v>
      </x:c>
      <x:c r="B182" s="3" t="str">
        <x:v>未决问题</x:v>
      </x:c>
      <x:c r="C182" s="3" t="str">
        <x:v>unresolved</x:v>
      </x:c>
      <x:c r="D182" s="3" t="str">
        <x:v>条件或可选</x:v>
      </x:c>
      <x:c r="E182" s="3" t="str">
        <x:v>见填写说明</x:v>
      </x:c>
      <x:c r="F182" s="3" t="str">
        <x:v>不能用裁决抹去合理分歧</x:v>
      </x:c>
    </x:row>
  </x:sheetData>
  <x:pageMargins left="0.7" right="0.7" top="0.75" bottom="0.75" header="0.3" footer="0.3"/>
  <x:tableParts count="1">
    <x:tablePart xmlns:r="http://schemas.openxmlformats.org/officeDocument/2006/relationships" r:id="R87789acfbf7d4a8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65" hidden="0" customWidth="1"/>
    <x:col min="3" max="3" width="26" hidden="0" customWidth="1"/>
    <x:col min="4" max="4" width="30" hidden="0" customWidth="1"/>
    <x:col min="5" max="5" width="60" hidden="0" customWidth="1"/>
    <x:col min="6" max="6" width="36" hidden="0" customWidth="1"/>
    <x:col min="7" max="7" width="90" hidden="0" customWidth="1"/>
    <x:col min="8" max="8" width="94" hidden="0" customWidth="1"/>
    <x:col min="9" max="9" width="80" hidden="0" customWidth="1"/>
  </x:cols>
  <x:sheetData>
    <x:row r="1" ht="52" customHeight="1">
      <x:c r="A1" s="6" t="str">
        <x:v>规范ID</x:v>
      </x:c>
      <x:c r="B1" s="6" t="str">
        <x:v>文件名称</x:v>
      </x:c>
      <x:c r="C1" s="6" t="str">
        <x:v>发布机关</x:v>
      </x:c>
      <x:c r="D1" s="6" t="str">
        <x:v>发布或通过日期</x:v>
      </x:c>
      <x:c r="E1" s="6" t="str">
        <x:v>施行与适用提示</x:v>
      </x:c>
      <x:c r="F1" s="6" t="str">
        <x:v>相关条项</x:v>
      </x:c>
      <x:c r="G1" s="6" t="str">
        <x:v>标注用途</x:v>
      </x:c>
      <x:c r="H1" s="6" t="str">
        <x:v>适用限制</x:v>
      </x:c>
      <x:c r="I1" s="6" t="str">
        <x:v>官方核验URL</x:v>
      </x:c>
    </x:row>
    <x:row r="2" ht="160" customHeight="1">
      <x:c r="A2" s="3" t="str">
        <x:v>N01</x:v>
      </x:c>
      <x:c r="B2" s="3" t="str">
        <x:v>中华人民共和国刑法（2023年修正整合文本）</x:v>
      </x:c>
      <x:c r="C2" s="3" t="str">
        <x:v>国家税务总局政策法规库（整合全国人大常委会历次修正文本）</x:v>
      </x:c>
      <x:c r="D2" s="3" t="str">
        <x:v>2023-12-29（页面标注成文日期；刑法十二修正）</x:v>
      </x:c>
      <x:c r="E2" s="3" t="str">
        <x:v>2024-03-01起适用刑法修正案（十二）；具体行为仍须按行为时法核对</x:v>
      </x:c>
      <x:c r="F2" s="3" t="str">
        <x:v>6；7；8；9；10；25；26；27；28；29；30；31；63；65；69；266；287-2；312</x:v>
      </x:c>
      <x:c r="G2" s="3" t="str">
        <x:v>记录属地、属人、保护性和条约管辖连接点；共同犯罪故意/作用；减轻处罚、累犯、数罪并罚边界；诈骗、帮信、掩隐构成要件及单位责任。</x:v>
      </x:c>
      <x:c r="H2" s="3" t="str">
        <x:v>该页面为政府法规库的整合全文，不应回溯替代行为时法；刑法条文没有授权固定百分比、金额线性量刑、风险分数或自动定罪；刑法第8条的保护性管辖有外国人在境外、侵害中国国家或公民、最低刑等前提。</x:v>
      </x:c>
      <x:c r="I2" s="3" t="str">
        <x:v>https://fgk.chinatax.gov.cn/zcfgk/c100009/c5212248/content.html</x:v>
      </x:c>
    </x:row>
    <x:row r="3" ht="160" customHeight="1">
      <x:c r="A3" s="3" t="str">
        <x:v>N02</x:v>
      </x:c>
      <x:c r="B3" s="3" t="str">
        <x:v>关于办理非法利用信息网络、帮助信息网络犯罪活动等刑事案件适用法律若干问题的解释（法释〔2019〕15号）</x:v>
      </x:c>
      <x:c r="C3" s="3" t="str">
        <x:v>最高人民法院、最高人民检察院</x:v>
      </x:c>
      <x:c r="D3" s="3" t="str">
        <x:v>2019-10-21</x:v>
      </x:c>
      <x:c r="E3" s="3" t="str">
        <x:v>2019-11-01</x:v>
      </x:c>
      <x:c r="F3" s="3" t="str">
        <x:v>11；12；13；14；15；16；17；18；19</x:v>
      </x:c>
      <x:c r="G3" s="3" t="str">
        <x:v>第11条线索性明知推定须保留‘有相反证据的除外’；第12条情节严重标准须记录全部前提、数额口径和五倍路径的客观条件限制；第13条上游未到案等不当然阻却帮信罪；第14条单位责任；第15条情节轻微处理。</x:v>
      </x:c>
      <x:c r="H3" s="3" t="str">
        <x:v>任何单一线索、账户流水或金额都不自动等于明知、帮助、情节严重或有罪；五倍规则不是‘尚未查清’的一般替代。原最高法公报页面本次直接打开超时，内容以国家网信办官方全文页面交叉核验。</x:v>
      </x:c>
      <x:c r="I3" s="3" t="str">
        <x:v>https://www.cac.gov.cn/2019-10/25/c_1573534999086260.htm</x:v>
      </x:c>
    </x:row>
    <x:row r="4" ht="160" customHeight="1">
      <x:c r="A4" s="3" t="str">
        <x:v>N03</x:v>
      </x:c>
      <x:c r="B4" s="3" t="str">
        <x:v>关于办理帮助信息网络犯罪活动等刑事案件有关问题的意见（法发〔2025〕12号）</x:v>
      </x:c>
      <x:c r="C4" s="3" t="str">
        <x:v>最高人民法院、最高人民检察院、公安部</x:v>
      </x:c>
      <x:c r="D4" s="3" t="str">
        <x:v>2025-07-22签发；2025-07-28公开</x:v>
      </x:c>
      <x:c r="E4" s="3" t="str">
        <x:v>按文件及相关法源适用；行为时法与版本需个案核对</x:v>
      </x:c>
      <x:c r="F4" s="3" t="str">
        <x:v>1；2；3；4；5；6；7；8；9；10；11；12；13；14；15；16</x:v>
      </x:c>
      <x:c r="G4" s="3" t="str">
        <x:v>综合把握帮信罪主客观方面；区分帮信罪、掩隐罪和关联犯罪共犯；记录两卡事实和上游查证状态；把未成年人、在校学生、末端人员作为需综合评价的政策事实；记录跨境、组织、职业、深度合成等事实而不自动转成比例加重。</x:v>
      </x:c>
      <x:c r="H4" s="3" t="str">
        <x:v>第5条明知判断应结合行为人提供帮助的时间、方式、次数、工具、是否违反禁止性规定、逃避监管或规避调查、非法获利、认知能力、职业身份、既往经历、关系及供述辩解等因素综合审查，并允许相反证据；第8条的事前通谋或较为稳定配合是共同犯罪界分条件；第9、10、11条是从严从宽或政策考量框架，不是自动加减刑百分比；第9条第8项把相对不起诉作为从严考量事实，但不等于刑法第65条的累犯；‘在校学生’不等于未成年人。</x:v>
      </x:c>
      <x:c r="I4" s="3" t="str">
        <x:v>https://www.court.gov.cn/zixun/xiangqing/472121.html</x:v>
      </x:c>
    </x:row>
    <x:row r="5" ht="160" customHeight="1">
      <x:c r="A5" s="3" t="str">
        <x:v>N04</x:v>
      </x:c>
      <x:c r="B5" s="3" t="str">
        <x:v>关于办理掩饰、隐瞒犯罪所得、犯罪所得收益刑事案件适用法律若干问题的解释（法释〔2025〕13号）</x:v>
      </x:c>
      <x:c r="C5" s="3" t="str">
        <x:v>最高人民法院、最高人民检察院</x:v>
      </x:c>
      <x:c r="D5" s="3" t="str">
        <x:v>2025-08-24公布</x:v>
      </x:c>
      <x:c r="E5" s="3" t="str">
        <x:v>2025-08-26；2015年解释及2021年修改决定同时废止</x:v>
      </x:c>
      <x:c r="F5" s="3" t="str">
        <x:v>1；2；3；4；5；6；7；8；9；10；11；12</x:v>
      </x:c>
      <x:c r="G5" s="3" t="str">
        <x:v>第1—3条记录所得/收益对象、掩饰隐瞒方法、明知或应知及综合评价；第5条按上游犯罪类型分别记录数额与附加情形的合取/或关系；第6条按实施行为时数额并记录未经行政处罚的累计；第7—10条记录通谋共犯、竞合及上游犯罪事实存在；第11—12条记录单位责任和版本效力。</x:v>
      </x:c>
      <x:c r="H5" s="3" t="str">
        <x:v>第5条第一款为前类上游数额达到500万元以上，且具所列五项之一；第（四）项为损失250万元以上，仍在前述数额与情节框架内。第二款对其他上游单列50万元、指定附加情形或损失25万元的条文分支，应保留完整原文并由专家说明适用，不把概括变成纯数额自动规则。第2条要求综合判断；上游未到案不等于免证上游事实；新解释不能无条件回填旧行为。</x:v>
      </x:c>
      <x:c r="I5" s="3" t="str">
        <x:v>https://www.court.gov.cn/zixun/xiangqing/474141.html</x:v>
      </x:c>
    </x:row>
    <x:row r="6" ht="160" customHeight="1">
      <x:c r="A6" s="3" t="str">
        <x:v>N05</x:v>
      </x:c>
      <x:c r="B6" s="3" t="str">
        <x:v>关于办理跨境电信网络诈骗等刑事案件适用法律若干问题的意见</x:v>
      </x:c>
      <x:c r="C6" s="3" t="str">
        <x:v>最高人民法院、最高人民检察院、公安部</x:v>
      </x:c>
      <x:c r="D6" s="3" t="str">
        <x:v>2024-06-26签发；2024-07-26发布</x:v>
      </x:c>
      <x:c r="E6" s="3" t="str">
        <x:v>文件未单列施行条款；结合相关法源及案件时间核定适用</x:v>
      </x:c>
      <x:c r="F6" s="3" t="str">
        <x:v>1；2；3；4；5；6；7；8；9；10；11；12；13；14；15；16</x:v>
      </x:c>
      <x:c r="G6" s="3" t="str">
        <x:v>第7条仅在参加境外诈骗集团/团伙并实施诈骗、个人与集团数额均难查，且一年内出境赴窝点累计30日以上或多次出境时，记录诈骗罪‘其他严重情节’；第8条记录窝点定义、实际加入起算、非法出境替代起算、合理路途扣除及正当辩解；第12条核对胁迫事实，第13条核对主动/劝返投案及如实供述，第15条核对追赃、财产来源性质和处理证据。</x:v>
      </x:c>
      <x:c r="H6" s="3" t="str">
        <x:v>第7条有全部前提并有‘正当活动除外’，不能把跨境、出境次数或30日单独标为加重；第8条的30日从实际加入窝点起算，确切时间难查且非法出境才可替代起算，合理路途必须扣除。意见共16条，未单列一般‘管辖’条款；不得将其改写成被害人所在地或固定管辖分数规则。</x:v>
      </x:c>
      <x:c r="I6" s="3" t="str">
        <x:v>https://www.court.gov.cn/zixun/xiangqing/439341.html</x:v>
      </x:c>
    </x:row>
    <x:row r="7" ht="160" customHeight="1">
      <x:c r="A7" s="3" t="str">
        <x:v>N06</x:v>
      </x:c>
      <x:c r="B7" s="3" t="str">
        <x:v>中华人民共和国刑法修正案（九）</x:v>
      </x:c>
      <x:c r="C7" s="3" t="str">
        <x:v>全国人民代表大会常务委员会/中国人大网</x:v>
      </x:c>
      <x:c r="D7" s="3" t="str">
        <x:v>2015-08-29</x:v>
      </x:c>
      <x:c r="E7" s="3" t="str">
        <x:v>2015-11-01</x:v>
      </x:c>
      <x:c r="F7" s="3" t="str">
        <x:v>第二百八十七条之一；第二百八十七条之二</x:v>
      </x:c>
      <x:c r="G7" s="3" t="str">
        <x:v>核对帮信罪条文的帮助类型、情节严重、单位责任和与其他犯罪同时构成时依处罚较重规定。</x:v>
      </x:c>
      <x:c r="H7" s="3" t="str">
        <x:v>修正案是条文变更来源，不能替代行为时法审查，也不能推出模块中的量刑起点或固定加减幅度。</x:v>
      </x:c>
      <x:c r="I7" s="3" t="str">
        <x:v>https://www.npc.gov.cn/npc/c2/c12435/c12488/201905/t20190521_222115.html</x:v>
      </x:c>
    </x:row>
    <x:row r="8" ht="160" customHeight="1">
      <x:c r="A8" s="3" t="str">
        <x:v>N07</x:v>
      </x:c>
      <x:c r="B8" s="3" t="str">
        <x:v>中华人民共和国刑事诉讼法（2018年修正）</x:v>
      </x:c>
      <x:c r="C8" s="3" t="str">
        <x:v>国家市场监督管理总局法规全文转载；原制定机关为全国人大常委会</x:v>
      </x:c>
      <x:c r="D8" s="3" t="str">
        <x:v>2018-10-26（第三次修正）</x:v>
      </x:c>
      <x:c r="E8" s="3" t="str">
        <x:v>2018-10-26起施行</x:v>
      </x:c>
      <x:c r="F8" s="3" t="str">
        <x:v>51；55；200</x:v>
      </x:c>
      <x:c r="G8" s="3" t="str">
        <x:v>第51条：公诉案件中被告人有罪的举证责任由人民检察院承担，自诉案件由自诉人承担；第55条：重证据、证据确实充分和排除合理怀疑；第200条：事实清楚证据充分作有罪判决，证据不足不能认定有罪作无罪判决。</x:v>
      </x:c>
      <x:c r="H8" s="3" t="str">
        <x:v>不得把被告人未能证明无罪、沉默或辩解不充分当作自动补足公诉证明责任；工作簿必须保留证据不足和相反证据状态。</x:v>
      </x:c>
      <x:c r="I8" s="3" t="str">
        <x:v>https://www.samr.gov.cn/zw/zfxxgk/fdzdgknr/bgt/art/2025/art_48b3b0c3f954448e996602a71fc6f878.html</x:v>
      </x:c>
    </x:row>
    <x:row r="9" ht="160" customHeight="1">
      <x:c r="A9" s="3" t="str">
        <x:v>N08</x:v>
      </x:c>
      <x:c r="B9" s="3" t="str">
        <x:v>关于办理诈骗刑事案件具体应用法律若干问题的解释（法释〔2011〕7号）</x:v>
      </x:c>
      <x:c r="C9" s="3" t="str">
        <x:v>最高人民法院、最高人民检察院</x:v>
      </x:c>
      <x:c r="D9" s="3" t="str">
        <x:v>2011-03-01公告；2011-04-08网页发布</x:v>
      </x:c>
      <x:c r="E9" s="3" t="str">
        <x:v>2011-04-08</x:v>
      </x:c>
      <x:c r="F9" s="3" t="str">
        <x:v>1；2；6；7；8；9；10；11</x:v>
      </x:c>
      <x:c r="G9" s="3" t="str">
        <x:v>第1条规定三档全国幅度（3000—10000、30000—100000、500000以上），并允许省级高法、高检在幅度内确定本地区具体标准；第7条规定明知他人实施诈骗并提供卡、通信、网络技术支持、费用结算等帮助的，以共同犯罪论处；第6条区分既遂未遂。</x:v>
      </x:c>
      <x:c r="H9" s="3" t="str">
        <x:v>第1条是幅度而非全国单一固定门槛；必须记录适用省份及备案的地方具体标准。第7条的‘明知’和具体帮助仍需证据证明，不能把所有账户提供行为自动标为诈骗共犯。</x:v>
      </x:c>
      <x:c r="I9" s="3" t="str">
        <x:v>https://www.court.gov.cn/zixun/xiangqing/2472.html</x:v>
      </x:c>
    </x:row>
    <x:row r="10" ht="160" customHeight="1">
      <x:c r="A10" s="3" t="str">
        <x:v>N09</x:v>
      </x:c>
      <x:c r="B10" s="3" t="str">
        <x:v>关于办理电信网络诈骗等刑事案件适用法律若干问题的意见（法发〔2016〕32号）</x:v>
      </x:c>
      <x:c r="C10" s="3" t="str">
        <x:v>最高人民法院、最高人民检察院、公安部</x:v>
      </x:c>
      <x:c r="D10" s="3" t="str">
        <x:v>2016-12-19签发；2016-12-20网页发布</x:v>
      </x:c>
      <x:c r="E10" s="3" t="str">
        <x:v>文件未单列施行条款；结合后续意见及案件时间核定适用</x:v>
      </x:c>
      <x:c r="F10" s="3" t="str">
        <x:v>二（一）—（八）；三（一）—（五）；四；五（一）—（八）；六（一）—（三）；七（一）—（三）</x:v>
      </x:c>
      <x:c r="G10" s="3" t="str">
        <x:v>二（一）电信网络诈骗专项数额标准为3000元、3万元、50万元；二（三）接近标准结合附加情节；二（四）数额难查的特定数量及未遂规则。四记录共同犯罪及参与期间；五国内办案管辖；六境内外证据；七涉案财物。</x:v>
      </x:c>
      <x:c r="H10" s="3" t="str">
        <x:v>电信网络诈骗专项标准与2011普通诈骗地方区间应区分，不以地方一般区间替换该专项条款。数量规则须核对行为类型、实际骗得财物、数额难查、证据和既未遂条件。旧关联犯罪规则与2025帮信意见、掩隐解释不一致时核对新规则适用。</x:v>
      </x:c>
      <x:c r="I10" s="3" t="str">
        <x:v>https://www.court.gov.cn/fabu/xiangqing/33361.html</x:v>
      </x:c>
    </x:row>
    <x:row r="11" ht="160" customHeight="1">
      <x:c r="A11" s="3" t="str">
        <x:v>N10</x:v>
      </x:c>
      <x:c r="B11" s="3" t="str">
        <x:v>关于办理电信网络诈骗等刑事案件适用法律若干问题的意见（二）（法发〔2021〕22号）</x:v>
      </x:c>
      <x:c r="C11" s="3" t="str">
        <x:v>最高人民法院、最高人民检察院、公安部</x:v>
      </x:c>
      <x:c r="D11" s="3" t="str">
        <x:v>2021-06-17签发；2021-06-22网页发布</x:v>
      </x:c>
      <x:c r="E11" s="3" t="str">
        <x:v>文件未单列施行条款；结合2024和2025后续规则及案件时间核定适用</x:v>
      </x:c>
      <x:c r="F11" s="3" t="str">
        <x:v>1；2；3；4；5；6；7；8；9；10；11；12；13；14；15；16；17</x:v>
      </x:c>
      <x:c r="G11" s="3" t="str">
        <x:v>第1条记录电诈犯罪地扩展连接点；第3条记录境外集团/团伙、针对境内居民、金额难查、30日/多次出境及正当活动除外；第7—11条记录两卡帮助、明知、情节严重和掩隐行为；第12条记录上游可确认但行为人未到案时的先行追究；第17条记录追赃返还。</x:v>
      </x:c>
      <x:c r="H11" s="3" t="str">
        <x:v>第3条各前提必须同时满足，不能把30日或多次出境单独标为诈骗罪成立；第1条是电诈案件犯罪地连接点规则，不能替代刑法第6—9条的管辖分析；第7—11条需绑定具体行为、明知和证据，不自动推出帮信或掩隐罪。 第3条与2024跨境意见第7、8条、两卡规则与2025帮信意见须审查衔接，不继续机械沿用旧5卡规则。</x:v>
      </x:c>
      <x:c r="I11" s="3" t="str">
        <x:v>https://www.court.gov.cn/zixun/xiangqing/310161.html</x:v>
      </x:c>
    </x:row>
  </x:sheetData>
  <x:pageMargins left="0.7" right="0.7" top="0.75" bottom="0.75" header="0.3" footer="0.3"/>
  <x:tableParts count="1">
    <x:tablePart xmlns:r="http://schemas.openxmlformats.org/officeDocument/2006/relationships" r:id="R0cade2d1ea3140ba"/>
  </x:tableParts>
</x:worksheet>
</file>